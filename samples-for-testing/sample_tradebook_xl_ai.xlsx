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urio/chinmaya-new/projects/contract-view/"/>
    </mc:Choice>
  </mc:AlternateContent>
  <xr:revisionPtr revIDLastSave="0" documentId="13_ncr:1_{686DE3C7-7245-A44A-A252-DED4E9B9A7D6}" xr6:coauthVersionLast="47" xr6:coauthVersionMax="47" xr10:uidLastSave="{00000000-0000-0000-0000-000000000000}"/>
  <bookViews>
    <workbookView xWindow="0" yWindow="780" windowWidth="34200" windowHeight="21360" tabRatio="500" activeTab="1" xr2:uid="{00000000-000D-0000-FFFF-FFFF00000000}"/>
  </bookViews>
  <sheets>
    <sheet name="Organizations" sheetId="1" r:id="rId1"/>
    <sheet name="Line Items" sheetId="2" r:id="rId2"/>
    <sheet name="Summary" sheetId="3" r:id="rId3"/>
    <sheet name="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4" l="1"/>
  <c r="B16" i="4"/>
  <c r="B15" i="4"/>
  <c r="B11" i="4"/>
  <c r="B10" i="4"/>
  <c r="B9" i="4"/>
  <c r="B5" i="4"/>
  <c r="B4" i="4"/>
  <c r="H43" i="3"/>
  <c r="H42" i="3"/>
  <c r="H41" i="3"/>
  <c r="H40" i="3"/>
  <c r="H39" i="3"/>
  <c r="H38" i="3"/>
  <c r="H37" i="3"/>
  <c r="H36" i="3"/>
  <c r="H35" i="3"/>
  <c r="I34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44" i="3" s="1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I43" i="3" s="1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I42" i="3" s="1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I41" i="3" s="1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I40" i="3" s="1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I39" i="3" s="1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I38" i="3" s="1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I37" i="3" s="1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I36" i="3" s="1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I35" i="3" s="1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I33" i="3" s="1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I32" i="3" s="1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I31" i="3" s="1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I30" i="3" s="1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I29" i="3" s="1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I28" i="3" s="1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I27" i="3" s="1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I26" i="3" s="1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I25" i="3" s="1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I24" i="3" s="1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I23" i="3" s="1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I22" i="3" s="1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I21" i="3" s="1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I20" i="3" s="1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I19" i="3" s="1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I18" i="3" s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I17" i="3" s="1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I16" i="3" s="1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I15" i="3" s="1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I14" i="3" s="1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I13" i="3" s="1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I12" i="3" s="1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I11" i="3" s="1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I10" i="3" s="1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I9" i="3" s="1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I8" i="3" s="1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I7" i="3" s="1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I6" i="3" s="1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I5" i="3" s="1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I4" i="3" s="1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I3" i="3" s="1"/>
  <c r="C16" i="4" s="1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B7" i="4" s="1"/>
  <c r="C17" i="4" l="1"/>
  <c r="B8" i="4"/>
  <c r="I2" i="3"/>
  <c r="B6" i="4"/>
  <c r="H3452" i="2"/>
  <c r="C15" i="4" l="1"/>
  <c r="I44" i="3"/>
</calcChain>
</file>

<file path=xl/sharedStrings.xml><?xml version="1.0" encoding="utf-8"?>
<sst xmlns="http://schemas.openxmlformats.org/spreadsheetml/2006/main" count="17550" uniqueCount="3594">
  <si>
    <t>org_id</t>
  </si>
  <si>
    <t>org_name</t>
  </si>
  <si>
    <t>region</t>
  </si>
  <si>
    <t>ORG-001</t>
  </si>
  <si>
    <t>Helios Trading Co.</t>
  </si>
  <si>
    <t>Americas</t>
  </si>
  <si>
    <t>ORG-002</t>
  </si>
  <si>
    <t>Meridian Commodities Ltd.</t>
  </si>
  <si>
    <t>EMEA</t>
  </si>
  <si>
    <t>ORG-003</t>
  </si>
  <si>
    <t>Pinnacle Global Supply</t>
  </si>
  <si>
    <t>APAC</t>
  </si>
  <si>
    <t>item_id</t>
  </si>
  <si>
    <t>po_ref_no</t>
  </si>
  <si>
    <t>description</t>
  </si>
  <si>
    <t>unit_price</t>
  </si>
  <si>
    <t>line_total</t>
  </si>
  <si>
    <t>LI-00001</t>
  </si>
  <si>
    <t>PO-2025-1000</t>
  </si>
  <si>
    <t>Citric acid anhydrous</t>
  </si>
  <si>
    <t>kg</t>
  </si>
  <si>
    <t>per kg</t>
  </si>
  <si>
    <t>LI-00002</t>
  </si>
  <si>
    <t>Pallet wooden 48x40</t>
  </si>
  <si>
    <t>unit</t>
  </si>
  <si>
    <t>per unit</t>
  </si>
  <si>
    <t>LI-00003</t>
  </si>
  <si>
    <t>Rolled oats organic</t>
  </si>
  <si>
    <t>LI-00004</t>
  </si>
  <si>
    <t>Ethanol 96%</t>
  </si>
  <si>
    <t>liter</t>
  </si>
  <si>
    <t>per liter</t>
  </si>
  <si>
    <t>LI-00005</t>
  </si>
  <si>
    <t>Combed cotton yarn 30s</t>
  </si>
  <si>
    <t>cone</t>
  </si>
  <si>
    <t>per cone</t>
  </si>
  <si>
    <t>LI-00006</t>
  </si>
  <si>
    <t>Woven fabric 44in</t>
  </si>
  <si>
    <t>meter</t>
  </si>
  <si>
    <t>per meter</t>
  </si>
  <si>
    <t>LI-00007</t>
  </si>
  <si>
    <t>LI-00008</t>
  </si>
  <si>
    <t>PCB assembly rev-C</t>
  </si>
  <si>
    <t>LI-00009</t>
  </si>
  <si>
    <t>Lithium cell 18650</t>
  </si>
  <si>
    <t>LI-00010</t>
  </si>
  <si>
    <t>Silica gel desiccant</t>
  </si>
  <si>
    <t>LI-00011</t>
  </si>
  <si>
    <t>Stainless bolt M8</t>
  </si>
  <si>
    <t>LI-00012</t>
  </si>
  <si>
    <t>Cane sugar granulated</t>
  </si>
  <si>
    <t>LI-00013</t>
  </si>
  <si>
    <t>Stretch wrap film 20in</t>
  </si>
  <si>
    <t>roll</t>
  </si>
  <si>
    <t>per roll</t>
  </si>
  <si>
    <t>LI-00014</t>
  </si>
  <si>
    <t>LI-00015</t>
  </si>
  <si>
    <t>Sodium hydroxide flakes</t>
  </si>
  <si>
    <t>LI-00016</t>
  </si>
  <si>
    <t>LI-00017</t>
  </si>
  <si>
    <t>LI-00018</t>
  </si>
  <si>
    <t>LI-00019</t>
  </si>
  <si>
    <t>LI-00020</t>
  </si>
  <si>
    <t>LI-00021</t>
  </si>
  <si>
    <t>LI-00022</t>
  </si>
  <si>
    <t>LI-00023</t>
  </si>
  <si>
    <t>LI-00024</t>
  </si>
  <si>
    <t>Corrugated box B-flute</t>
  </si>
  <si>
    <t>LI-00025</t>
  </si>
  <si>
    <t>LI-00026</t>
  </si>
  <si>
    <t>LI-00027</t>
  </si>
  <si>
    <t>Zinc ingot SHG</t>
  </si>
  <si>
    <t>tonne</t>
  </si>
  <si>
    <t>per tonne</t>
  </si>
  <si>
    <t>LI-00028</t>
  </si>
  <si>
    <t>LI-00029</t>
  </si>
  <si>
    <t>LI-00030</t>
  </si>
  <si>
    <t>LI-00031</t>
  </si>
  <si>
    <t>PVC pipe 2in</t>
  </si>
  <si>
    <t>LI-00032</t>
  </si>
  <si>
    <t>LI-00033</t>
  </si>
  <si>
    <t>LI-00034</t>
  </si>
  <si>
    <t>LI-00035</t>
  </si>
  <si>
    <t>LI-00036</t>
  </si>
  <si>
    <t>LI-00037</t>
  </si>
  <si>
    <t>LI-00038</t>
  </si>
  <si>
    <t>Copper cathode grade A</t>
  </si>
  <si>
    <t>LI-00039</t>
  </si>
  <si>
    <t>LI-00040</t>
  </si>
  <si>
    <t>Sunflower oil refined</t>
  </si>
  <si>
    <t>LI-00041</t>
  </si>
  <si>
    <t>LI-00042</t>
  </si>
  <si>
    <t>LI-00043</t>
  </si>
  <si>
    <t>LI-00044</t>
  </si>
  <si>
    <t>LI-00045</t>
  </si>
  <si>
    <t>LI-00046</t>
  </si>
  <si>
    <t>LI-00047</t>
  </si>
  <si>
    <t>LI-00048</t>
  </si>
  <si>
    <t>LI-00049</t>
  </si>
  <si>
    <t>LI-00050</t>
  </si>
  <si>
    <t>LI-00051</t>
  </si>
  <si>
    <t>LI-00052</t>
  </si>
  <si>
    <t>PO-2025-1001</t>
  </si>
  <si>
    <t>LI-00053</t>
  </si>
  <si>
    <t>LI-00054</t>
  </si>
  <si>
    <t>LI-00055</t>
  </si>
  <si>
    <t>LI-00056</t>
  </si>
  <si>
    <t>LI-00057</t>
  </si>
  <si>
    <t>LI-00058</t>
  </si>
  <si>
    <t>LI-00059</t>
  </si>
  <si>
    <t>LI-00060</t>
  </si>
  <si>
    <t>LI-00061</t>
  </si>
  <si>
    <t>LI-00062</t>
  </si>
  <si>
    <t>LI-00063</t>
  </si>
  <si>
    <t>LI-00064</t>
  </si>
  <si>
    <t>LI-00065</t>
  </si>
  <si>
    <t>LI-00066</t>
  </si>
  <si>
    <t>LI-00067</t>
  </si>
  <si>
    <t>USB-C cable 1m</t>
  </si>
  <si>
    <t>LI-00068</t>
  </si>
  <si>
    <t>LI-00069</t>
  </si>
  <si>
    <t>LI-00070</t>
  </si>
  <si>
    <t>LI-00071</t>
  </si>
  <si>
    <t>LI-00072</t>
  </si>
  <si>
    <t>LI-00073</t>
  </si>
  <si>
    <t>LI-00074</t>
  </si>
  <si>
    <t>LI-00075</t>
  </si>
  <si>
    <t>LI-00076</t>
  </si>
  <si>
    <t>LI-00077</t>
  </si>
  <si>
    <t>LI-00078</t>
  </si>
  <si>
    <t>LI-00079</t>
  </si>
  <si>
    <t>LI-00080</t>
  </si>
  <si>
    <t>LI-00081</t>
  </si>
  <si>
    <t>LI-00082</t>
  </si>
  <si>
    <t>LI-00083</t>
  </si>
  <si>
    <t>PO-2025-1002</t>
  </si>
  <si>
    <t>LI-00084</t>
  </si>
  <si>
    <t>LI-00085</t>
  </si>
  <si>
    <t>LI-00086</t>
  </si>
  <si>
    <t>LI-00087</t>
  </si>
  <si>
    <t>LI-00088</t>
  </si>
  <si>
    <t>LI-00089</t>
  </si>
  <si>
    <t>LI-00090</t>
  </si>
  <si>
    <t>LI-00091</t>
  </si>
  <si>
    <t>LI-00092</t>
  </si>
  <si>
    <t>LI-00093</t>
  </si>
  <si>
    <t>LI-00094</t>
  </si>
  <si>
    <t>Kraft paper roll</t>
  </si>
  <si>
    <t>LI-00095</t>
  </si>
  <si>
    <t>LI-00096</t>
  </si>
  <si>
    <t>LI-00097</t>
  </si>
  <si>
    <t>LI-00098</t>
  </si>
  <si>
    <t>LI-00099</t>
  </si>
  <si>
    <t>LI-00100</t>
  </si>
  <si>
    <t>LI-00101</t>
  </si>
  <si>
    <t>LI-00102</t>
  </si>
  <si>
    <t>LI-00103</t>
  </si>
  <si>
    <t>LI-00104</t>
  </si>
  <si>
    <t>LI-00105</t>
  </si>
  <si>
    <t>LI-00106</t>
  </si>
  <si>
    <t>LI-00107</t>
  </si>
  <si>
    <t>LI-00108</t>
  </si>
  <si>
    <t>LI-00109</t>
  </si>
  <si>
    <t>LI-00110</t>
  </si>
  <si>
    <t>LI-00111</t>
  </si>
  <si>
    <t>LI-00112</t>
  </si>
  <si>
    <t>LI-00113</t>
  </si>
  <si>
    <t>LI-00114</t>
  </si>
  <si>
    <t>PO-2025-1003</t>
  </si>
  <si>
    <t>LI-00115</t>
  </si>
  <si>
    <t>LI-00116</t>
  </si>
  <si>
    <t>LI-00117</t>
  </si>
  <si>
    <t>LI-00118</t>
  </si>
  <si>
    <t>LI-00119</t>
  </si>
  <si>
    <t>LI-00120</t>
  </si>
  <si>
    <t>LI-00121</t>
  </si>
  <si>
    <t>LI-00122</t>
  </si>
  <si>
    <t>LI-00123</t>
  </si>
  <si>
    <t>LI-00124</t>
  </si>
  <si>
    <t>LI-00125</t>
  </si>
  <si>
    <t>LI-00126</t>
  </si>
  <si>
    <t>LI-00127</t>
  </si>
  <si>
    <t>LI-00128</t>
  </si>
  <si>
    <t>LI-00129</t>
  </si>
  <si>
    <t>LI-00130</t>
  </si>
  <si>
    <t>LI-00131</t>
  </si>
  <si>
    <t>LI-00132</t>
  </si>
  <si>
    <t>LI-00133</t>
  </si>
  <si>
    <t>LI-00134</t>
  </si>
  <si>
    <t>LI-00135</t>
  </si>
  <si>
    <t>LI-00136</t>
  </si>
  <si>
    <t>LI-00137</t>
  </si>
  <si>
    <t>LI-00138</t>
  </si>
  <si>
    <t>LI-00139</t>
  </si>
  <si>
    <t>LI-00140</t>
  </si>
  <si>
    <t>LI-00141</t>
  </si>
  <si>
    <t>LI-00142</t>
  </si>
  <si>
    <t>LI-00143</t>
  </si>
  <si>
    <t>LI-00144</t>
  </si>
  <si>
    <t>LI-00145</t>
  </si>
  <si>
    <t>LI-00146</t>
  </si>
  <si>
    <t>LI-00147</t>
  </si>
  <si>
    <t>LI-00148</t>
  </si>
  <si>
    <t>LI-00149</t>
  </si>
  <si>
    <t>LI-00150</t>
  </si>
  <si>
    <t>LI-00151</t>
  </si>
  <si>
    <t>LI-00152</t>
  </si>
  <si>
    <t>LI-00153</t>
  </si>
  <si>
    <t>LI-00154</t>
  </si>
  <si>
    <t>LI-00155</t>
  </si>
  <si>
    <t>LI-00156</t>
  </si>
  <si>
    <t>LI-00157</t>
  </si>
  <si>
    <t>LI-00158</t>
  </si>
  <si>
    <t>LI-00159</t>
  </si>
  <si>
    <t>PO-2025-1004</t>
  </si>
  <si>
    <t>LI-00160</t>
  </si>
  <si>
    <t>LI-00161</t>
  </si>
  <si>
    <t>LI-00162</t>
  </si>
  <si>
    <t>LI-00163</t>
  </si>
  <si>
    <t>LI-00164</t>
  </si>
  <si>
    <t>LI-00165</t>
  </si>
  <si>
    <t>LI-00166</t>
  </si>
  <si>
    <t>LI-00167</t>
  </si>
  <si>
    <t>LI-00168</t>
  </si>
  <si>
    <t>LI-00169</t>
  </si>
  <si>
    <t>LI-00170</t>
  </si>
  <si>
    <t>LI-00171</t>
  </si>
  <si>
    <t>LI-00172</t>
  </si>
  <si>
    <t>LI-00173</t>
  </si>
  <si>
    <t>LI-00174</t>
  </si>
  <si>
    <t>LI-00175</t>
  </si>
  <si>
    <t>LI-00176</t>
  </si>
  <si>
    <t>LI-00177</t>
  </si>
  <si>
    <t>LI-00178</t>
  </si>
  <si>
    <t>LI-00179</t>
  </si>
  <si>
    <t>LI-00180</t>
  </si>
  <si>
    <t>LI-00181</t>
  </si>
  <si>
    <t>LI-00182</t>
  </si>
  <si>
    <t>LI-00183</t>
  </si>
  <si>
    <t>LI-00184</t>
  </si>
  <si>
    <t>LI-00185</t>
  </si>
  <si>
    <t>LI-00186</t>
  </si>
  <si>
    <t>LI-00187</t>
  </si>
  <si>
    <t>LI-00188</t>
  </si>
  <si>
    <t>LI-00189</t>
  </si>
  <si>
    <t>LI-00190</t>
  </si>
  <si>
    <t>LI-00191</t>
  </si>
  <si>
    <t>LI-00192</t>
  </si>
  <si>
    <t>LI-00193</t>
  </si>
  <si>
    <t>LI-00194</t>
  </si>
  <si>
    <t>LI-00195</t>
  </si>
  <si>
    <t>LI-00196</t>
  </si>
  <si>
    <t>LI-00197</t>
  </si>
  <si>
    <t>LI-00198</t>
  </si>
  <si>
    <t>LI-00199</t>
  </si>
  <si>
    <t>LI-00200</t>
  </si>
  <si>
    <t>LI-00201</t>
  </si>
  <si>
    <t>LI-00202</t>
  </si>
  <si>
    <t>LI-00203</t>
  </si>
  <si>
    <t>LI-00204</t>
  </si>
  <si>
    <t>LI-00205</t>
  </si>
  <si>
    <t>LI-00206</t>
  </si>
  <si>
    <t>LI-00207</t>
  </si>
  <si>
    <t>LI-00208</t>
  </si>
  <si>
    <t>LI-00209</t>
  </si>
  <si>
    <t>LI-00210</t>
  </si>
  <si>
    <t>LI-00211</t>
  </si>
  <si>
    <t>LI-00212</t>
  </si>
  <si>
    <t>LI-00213</t>
  </si>
  <si>
    <t>LI-00214</t>
  </si>
  <si>
    <t>LI-00215</t>
  </si>
  <si>
    <t>LI-00216</t>
  </si>
  <si>
    <t>LI-00217</t>
  </si>
  <si>
    <t>LI-00218</t>
  </si>
  <si>
    <t>LI-00219</t>
  </si>
  <si>
    <t>LI-00220</t>
  </si>
  <si>
    <t>LI-00221</t>
  </si>
  <si>
    <t>LI-00222</t>
  </si>
  <si>
    <t>LI-00223</t>
  </si>
  <si>
    <t>LI-00224</t>
  </si>
  <si>
    <t>LI-00225</t>
  </si>
  <si>
    <t>LI-00226</t>
  </si>
  <si>
    <t>LI-00227</t>
  </si>
  <si>
    <t>LI-00228</t>
  </si>
  <si>
    <t>LI-00229</t>
  </si>
  <si>
    <t>LI-00230</t>
  </si>
  <si>
    <t>LI-00231</t>
  </si>
  <si>
    <t>LI-00232</t>
  </si>
  <si>
    <t>LI-00233</t>
  </si>
  <si>
    <t>LI-00234</t>
  </si>
  <si>
    <t>LI-00235</t>
  </si>
  <si>
    <t>LI-00236</t>
  </si>
  <si>
    <t>PO-2025-1005</t>
  </si>
  <si>
    <t>LI-00237</t>
  </si>
  <si>
    <t>LI-00238</t>
  </si>
  <si>
    <t>LI-00239</t>
  </si>
  <si>
    <t>LI-00240</t>
  </si>
  <si>
    <t>LI-00241</t>
  </si>
  <si>
    <t>LI-00242</t>
  </si>
  <si>
    <t>LI-00243</t>
  </si>
  <si>
    <t>LI-00244</t>
  </si>
  <si>
    <t>LI-00245</t>
  </si>
  <si>
    <t>LI-00246</t>
  </si>
  <si>
    <t>LI-00247</t>
  </si>
  <si>
    <t>LI-00248</t>
  </si>
  <si>
    <t>LI-00249</t>
  </si>
  <si>
    <t>LI-00250</t>
  </si>
  <si>
    <t>LI-00251</t>
  </si>
  <si>
    <t>LI-00252</t>
  </si>
  <si>
    <t>LI-00253</t>
  </si>
  <si>
    <t>LI-00254</t>
  </si>
  <si>
    <t>LI-00255</t>
  </si>
  <si>
    <t>LI-00256</t>
  </si>
  <si>
    <t>LI-00257</t>
  </si>
  <si>
    <t>LI-00258</t>
  </si>
  <si>
    <t>LI-00259</t>
  </si>
  <si>
    <t>LI-00260</t>
  </si>
  <si>
    <t>LI-00261</t>
  </si>
  <si>
    <t>LI-00262</t>
  </si>
  <si>
    <t>LI-00263</t>
  </si>
  <si>
    <t>LI-00264</t>
  </si>
  <si>
    <t>LI-00265</t>
  </si>
  <si>
    <t>LI-00266</t>
  </si>
  <si>
    <t>LI-00267</t>
  </si>
  <si>
    <t>LI-00268</t>
  </si>
  <si>
    <t>LI-00269</t>
  </si>
  <si>
    <t>LI-00270</t>
  </si>
  <si>
    <t>LI-00271</t>
  </si>
  <si>
    <t>LI-00272</t>
  </si>
  <si>
    <t>LI-00273</t>
  </si>
  <si>
    <t>LI-00274</t>
  </si>
  <si>
    <t>LI-00275</t>
  </si>
  <si>
    <t>LI-00276</t>
  </si>
  <si>
    <t>LI-00277</t>
  </si>
  <si>
    <t>LI-00278</t>
  </si>
  <si>
    <t>LI-00279</t>
  </si>
  <si>
    <t>LI-00280</t>
  </si>
  <si>
    <t>LI-00281</t>
  </si>
  <si>
    <t>LI-00282</t>
  </si>
  <si>
    <t>LI-00283</t>
  </si>
  <si>
    <t>LI-00284</t>
  </si>
  <si>
    <t>LI-00285</t>
  </si>
  <si>
    <t>LI-00286</t>
  </si>
  <si>
    <t>LI-00287</t>
  </si>
  <si>
    <t>LI-00288</t>
  </si>
  <si>
    <t>LI-00289</t>
  </si>
  <si>
    <t>LI-00290</t>
  </si>
  <si>
    <t>LI-00291</t>
  </si>
  <si>
    <t>LI-00292</t>
  </si>
  <si>
    <t>LI-00293</t>
  </si>
  <si>
    <t>LI-00294</t>
  </si>
  <si>
    <t>LI-00295</t>
  </si>
  <si>
    <t>LI-00296</t>
  </si>
  <si>
    <t>LI-00297</t>
  </si>
  <si>
    <t>LI-00298</t>
  </si>
  <si>
    <t>LI-00299</t>
  </si>
  <si>
    <t>LI-00300</t>
  </si>
  <si>
    <t>LI-00301</t>
  </si>
  <si>
    <t>LI-00302</t>
  </si>
  <si>
    <t>LI-00303</t>
  </si>
  <si>
    <t>LI-00304</t>
  </si>
  <si>
    <t>LI-00305</t>
  </si>
  <si>
    <t>LI-00306</t>
  </si>
  <si>
    <t>LI-00307</t>
  </si>
  <si>
    <t>LI-00308</t>
  </si>
  <si>
    <t>LI-00309</t>
  </si>
  <si>
    <t>LI-00310</t>
  </si>
  <si>
    <t>LI-00311</t>
  </si>
  <si>
    <t>LI-00312</t>
  </si>
  <si>
    <t>LI-00313</t>
  </si>
  <si>
    <t>LI-00314</t>
  </si>
  <si>
    <t>LI-00315</t>
  </si>
  <si>
    <t>LI-00316</t>
  </si>
  <si>
    <t>LI-00317</t>
  </si>
  <si>
    <t>LI-00318</t>
  </si>
  <si>
    <t>LI-00319</t>
  </si>
  <si>
    <t>LI-00320</t>
  </si>
  <si>
    <t>LI-00321</t>
  </si>
  <si>
    <t>LI-00322</t>
  </si>
  <si>
    <t>LI-00323</t>
  </si>
  <si>
    <t>LI-00324</t>
  </si>
  <si>
    <t>LI-00325</t>
  </si>
  <si>
    <t>LI-00326</t>
  </si>
  <si>
    <t>LI-00327</t>
  </si>
  <si>
    <t>LI-00328</t>
  </si>
  <si>
    <t>LI-00329</t>
  </si>
  <si>
    <t>LI-00330</t>
  </si>
  <si>
    <t>LI-00331</t>
  </si>
  <si>
    <t>LI-00332</t>
  </si>
  <si>
    <t>LI-00333</t>
  </si>
  <si>
    <t>LI-00334</t>
  </si>
  <si>
    <t>LI-00335</t>
  </si>
  <si>
    <t>LI-00336</t>
  </si>
  <si>
    <t>LI-00337</t>
  </si>
  <si>
    <t>LI-00338</t>
  </si>
  <si>
    <t>LI-00339</t>
  </si>
  <si>
    <t>LI-00340</t>
  </si>
  <si>
    <t>LI-00341</t>
  </si>
  <si>
    <t>LI-00342</t>
  </si>
  <si>
    <t>LI-00343</t>
  </si>
  <si>
    <t>LI-00344</t>
  </si>
  <si>
    <t>LI-00345</t>
  </si>
  <si>
    <t>PO-2025-1006</t>
  </si>
  <si>
    <t>LI-00346</t>
  </si>
  <si>
    <t>LI-00347</t>
  </si>
  <si>
    <t>LI-00348</t>
  </si>
  <si>
    <t>LI-00349</t>
  </si>
  <si>
    <t>LI-00350</t>
  </si>
  <si>
    <t>LI-00351</t>
  </si>
  <si>
    <t>LI-00352</t>
  </si>
  <si>
    <t>LI-00353</t>
  </si>
  <si>
    <t>LI-00354</t>
  </si>
  <si>
    <t>LI-00355</t>
  </si>
  <si>
    <t>LI-00356</t>
  </si>
  <si>
    <t>LI-00357</t>
  </si>
  <si>
    <t>LI-00358</t>
  </si>
  <si>
    <t>LI-00359</t>
  </si>
  <si>
    <t>LI-00360</t>
  </si>
  <si>
    <t>LI-00361</t>
  </si>
  <si>
    <t>LI-00362</t>
  </si>
  <si>
    <t>LI-00363</t>
  </si>
  <si>
    <t>LI-00364</t>
  </si>
  <si>
    <t>LI-00365</t>
  </si>
  <si>
    <t>LI-00366</t>
  </si>
  <si>
    <t>LI-00367</t>
  </si>
  <si>
    <t>LI-00368</t>
  </si>
  <si>
    <t>LI-00369</t>
  </si>
  <si>
    <t>LI-00370</t>
  </si>
  <si>
    <t>LI-00371</t>
  </si>
  <si>
    <t>LI-00372</t>
  </si>
  <si>
    <t>LI-00373</t>
  </si>
  <si>
    <t>LI-00374</t>
  </si>
  <si>
    <t>LI-00375</t>
  </si>
  <si>
    <t>LI-00376</t>
  </si>
  <si>
    <t>LI-00377</t>
  </si>
  <si>
    <t>LI-00378</t>
  </si>
  <si>
    <t>LI-00379</t>
  </si>
  <si>
    <t>LI-00380</t>
  </si>
  <si>
    <t>LI-00381</t>
  </si>
  <si>
    <t>LI-00382</t>
  </si>
  <si>
    <t>LI-00383</t>
  </si>
  <si>
    <t>LI-00384</t>
  </si>
  <si>
    <t>LI-00385</t>
  </si>
  <si>
    <t>LI-00386</t>
  </si>
  <si>
    <t>LI-00387</t>
  </si>
  <si>
    <t>LI-00388</t>
  </si>
  <si>
    <t>LI-00389</t>
  </si>
  <si>
    <t>LI-00390</t>
  </si>
  <si>
    <t>LI-00391</t>
  </si>
  <si>
    <t>LI-00392</t>
  </si>
  <si>
    <t>PO-2025-1007</t>
  </si>
  <si>
    <t>LI-00393</t>
  </si>
  <si>
    <t>LI-00394</t>
  </si>
  <si>
    <t>LI-00395</t>
  </si>
  <si>
    <t>LI-00396</t>
  </si>
  <si>
    <t>LI-00397</t>
  </si>
  <si>
    <t>LI-00398</t>
  </si>
  <si>
    <t>LI-00399</t>
  </si>
  <si>
    <t>LI-00400</t>
  </si>
  <si>
    <t>LI-00401</t>
  </si>
  <si>
    <t>LI-00402</t>
  </si>
  <si>
    <t>LI-00403</t>
  </si>
  <si>
    <t>LI-00404</t>
  </si>
  <si>
    <t>LI-00405</t>
  </si>
  <si>
    <t>LI-00406</t>
  </si>
  <si>
    <t>LI-00407</t>
  </si>
  <si>
    <t>LI-00408</t>
  </si>
  <si>
    <t>LI-00409</t>
  </si>
  <si>
    <t>LI-00410</t>
  </si>
  <si>
    <t>LI-00411</t>
  </si>
  <si>
    <t>LI-00412</t>
  </si>
  <si>
    <t>LI-00413</t>
  </si>
  <si>
    <t>LI-00414</t>
  </si>
  <si>
    <t>LI-00415</t>
  </si>
  <si>
    <t>LI-00416</t>
  </si>
  <si>
    <t>LI-00417</t>
  </si>
  <si>
    <t>LI-00418</t>
  </si>
  <si>
    <t>LI-00419</t>
  </si>
  <si>
    <t>LI-00420</t>
  </si>
  <si>
    <t>LI-00421</t>
  </si>
  <si>
    <t>LI-00422</t>
  </si>
  <si>
    <t>LI-00423</t>
  </si>
  <si>
    <t>LI-00424</t>
  </si>
  <si>
    <t>LI-00425</t>
  </si>
  <si>
    <t>LI-00426</t>
  </si>
  <si>
    <t>LI-00427</t>
  </si>
  <si>
    <t>LI-00428</t>
  </si>
  <si>
    <t>LI-00429</t>
  </si>
  <si>
    <t>LI-00430</t>
  </si>
  <si>
    <t>LI-00431</t>
  </si>
  <si>
    <t>LI-00432</t>
  </si>
  <si>
    <t>LI-00433</t>
  </si>
  <si>
    <t>LI-00434</t>
  </si>
  <si>
    <t>LI-00435</t>
  </si>
  <si>
    <t>LI-00436</t>
  </si>
  <si>
    <t>LI-00437</t>
  </si>
  <si>
    <t>LI-00438</t>
  </si>
  <si>
    <t>LI-00439</t>
  </si>
  <si>
    <t>LI-00440</t>
  </si>
  <si>
    <t>LI-00441</t>
  </si>
  <si>
    <t>LI-00442</t>
  </si>
  <si>
    <t>LI-00443</t>
  </si>
  <si>
    <t>LI-00444</t>
  </si>
  <si>
    <t>LI-00445</t>
  </si>
  <si>
    <t>LI-00446</t>
  </si>
  <si>
    <t>LI-00447</t>
  </si>
  <si>
    <t>LI-00448</t>
  </si>
  <si>
    <t>LI-00449</t>
  </si>
  <si>
    <t>LI-00450</t>
  </si>
  <si>
    <t>LI-00451</t>
  </si>
  <si>
    <t>LI-00452</t>
  </si>
  <si>
    <t>LI-00453</t>
  </si>
  <si>
    <t>LI-00454</t>
  </si>
  <si>
    <t>LI-00455</t>
  </si>
  <si>
    <t>LI-00456</t>
  </si>
  <si>
    <t>LI-00457</t>
  </si>
  <si>
    <t>LI-00458</t>
  </si>
  <si>
    <t>LI-00459</t>
  </si>
  <si>
    <t>LI-00460</t>
  </si>
  <si>
    <t>PO-2025-1008</t>
  </si>
  <si>
    <t>LI-00461</t>
  </si>
  <si>
    <t>LI-00462</t>
  </si>
  <si>
    <t>LI-00463</t>
  </si>
  <si>
    <t>LI-00464</t>
  </si>
  <si>
    <t>LI-00465</t>
  </si>
  <si>
    <t>LI-00466</t>
  </si>
  <si>
    <t>LI-00467</t>
  </si>
  <si>
    <t>LI-00468</t>
  </si>
  <si>
    <t>LI-00469</t>
  </si>
  <si>
    <t>LI-00470</t>
  </si>
  <si>
    <t>LI-00471</t>
  </si>
  <si>
    <t>LI-00472</t>
  </si>
  <si>
    <t>LI-00473</t>
  </si>
  <si>
    <t>LI-00474</t>
  </si>
  <si>
    <t>LI-00475</t>
  </si>
  <si>
    <t>LI-00476</t>
  </si>
  <si>
    <t>LI-00477</t>
  </si>
  <si>
    <t>LI-00478</t>
  </si>
  <si>
    <t>LI-00479</t>
  </si>
  <si>
    <t>LI-00480</t>
  </si>
  <si>
    <t>LI-00481</t>
  </si>
  <si>
    <t>LI-00482</t>
  </si>
  <si>
    <t>LI-00483</t>
  </si>
  <si>
    <t>LI-00484</t>
  </si>
  <si>
    <t>LI-00485</t>
  </si>
  <si>
    <t>LI-00486</t>
  </si>
  <si>
    <t>LI-00487</t>
  </si>
  <si>
    <t>LI-00488</t>
  </si>
  <si>
    <t>LI-00489</t>
  </si>
  <si>
    <t>LI-00490</t>
  </si>
  <si>
    <t>LI-00491</t>
  </si>
  <si>
    <t>LI-00492</t>
  </si>
  <si>
    <t>LI-00493</t>
  </si>
  <si>
    <t>LI-00494</t>
  </si>
  <si>
    <t>LI-00495</t>
  </si>
  <si>
    <t>LI-00496</t>
  </si>
  <si>
    <t>LI-00497</t>
  </si>
  <si>
    <t>LI-00498</t>
  </si>
  <si>
    <t>LI-00499</t>
  </si>
  <si>
    <t>LI-00500</t>
  </si>
  <si>
    <t>LI-00501</t>
  </si>
  <si>
    <t>LI-00502</t>
  </si>
  <si>
    <t>LI-00503</t>
  </si>
  <si>
    <t>LI-00504</t>
  </si>
  <si>
    <t>LI-00505</t>
  </si>
  <si>
    <t>LI-00506</t>
  </si>
  <si>
    <t>LI-00507</t>
  </si>
  <si>
    <t>LI-00508</t>
  </si>
  <si>
    <t>LI-00509</t>
  </si>
  <si>
    <t>LI-00510</t>
  </si>
  <si>
    <t>LI-00511</t>
  </si>
  <si>
    <t>LI-00512</t>
  </si>
  <si>
    <t>LI-00513</t>
  </si>
  <si>
    <t>PO-2025-1009</t>
  </si>
  <si>
    <t>LI-00514</t>
  </si>
  <si>
    <t>LI-00515</t>
  </si>
  <si>
    <t>LI-00516</t>
  </si>
  <si>
    <t>LI-00517</t>
  </si>
  <si>
    <t>LI-00518</t>
  </si>
  <si>
    <t>LI-00519</t>
  </si>
  <si>
    <t>LI-00520</t>
  </si>
  <si>
    <t>LI-00521</t>
  </si>
  <si>
    <t>LI-00522</t>
  </si>
  <si>
    <t>LI-00523</t>
  </si>
  <si>
    <t>LI-00524</t>
  </si>
  <si>
    <t>LI-00525</t>
  </si>
  <si>
    <t>LI-00526</t>
  </si>
  <si>
    <t>LI-00527</t>
  </si>
  <si>
    <t>LI-00528</t>
  </si>
  <si>
    <t>LI-00529</t>
  </si>
  <si>
    <t>LI-00530</t>
  </si>
  <si>
    <t>LI-00531</t>
  </si>
  <si>
    <t>LI-00532</t>
  </si>
  <si>
    <t>LI-00533</t>
  </si>
  <si>
    <t>LI-00534</t>
  </si>
  <si>
    <t>LI-00535</t>
  </si>
  <si>
    <t>LI-00536</t>
  </si>
  <si>
    <t>LI-00537</t>
  </si>
  <si>
    <t>LI-00538</t>
  </si>
  <si>
    <t>LI-00539</t>
  </si>
  <si>
    <t>LI-00540</t>
  </si>
  <si>
    <t>LI-00541</t>
  </si>
  <si>
    <t>LI-00542</t>
  </si>
  <si>
    <t>LI-00543</t>
  </si>
  <si>
    <t>LI-00544</t>
  </si>
  <si>
    <t>LI-00545</t>
  </si>
  <si>
    <t>LI-00546</t>
  </si>
  <si>
    <t>LI-00547</t>
  </si>
  <si>
    <t>LI-00548</t>
  </si>
  <si>
    <t>PO-2025-1010</t>
  </si>
  <si>
    <t>LI-00549</t>
  </si>
  <si>
    <t>LI-00550</t>
  </si>
  <si>
    <t>LI-00551</t>
  </si>
  <si>
    <t>LI-00552</t>
  </si>
  <si>
    <t>LI-00553</t>
  </si>
  <si>
    <t>LI-00554</t>
  </si>
  <si>
    <t>LI-00555</t>
  </si>
  <si>
    <t>LI-00556</t>
  </si>
  <si>
    <t>LI-00557</t>
  </si>
  <si>
    <t>LI-00558</t>
  </si>
  <si>
    <t>LI-00559</t>
  </si>
  <si>
    <t>LI-00560</t>
  </si>
  <si>
    <t>LI-00561</t>
  </si>
  <si>
    <t>LI-00562</t>
  </si>
  <si>
    <t>LI-00563</t>
  </si>
  <si>
    <t>LI-00564</t>
  </si>
  <si>
    <t>LI-00565</t>
  </si>
  <si>
    <t>LI-00566</t>
  </si>
  <si>
    <t>LI-00567</t>
  </si>
  <si>
    <t>LI-00568</t>
  </si>
  <si>
    <t>LI-00569</t>
  </si>
  <si>
    <t>LI-00570</t>
  </si>
  <si>
    <t>LI-00571</t>
  </si>
  <si>
    <t>LI-00572</t>
  </si>
  <si>
    <t>LI-00573</t>
  </si>
  <si>
    <t>LI-00574</t>
  </si>
  <si>
    <t>LI-00575</t>
  </si>
  <si>
    <t>LI-00576</t>
  </si>
  <si>
    <t>LI-00577</t>
  </si>
  <si>
    <t>LI-00578</t>
  </si>
  <si>
    <t>LI-00579</t>
  </si>
  <si>
    <t>LI-00580</t>
  </si>
  <si>
    <t>LI-00581</t>
  </si>
  <si>
    <t>LI-00582</t>
  </si>
  <si>
    <t>LI-00583</t>
  </si>
  <si>
    <t>LI-00584</t>
  </si>
  <si>
    <t>LI-00585</t>
  </si>
  <si>
    <t>LI-00586</t>
  </si>
  <si>
    <t>LI-00587</t>
  </si>
  <si>
    <t>LI-00588</t>
  </si>
  <si>
    <t>LI-00589</t>
  </si>
  <si>
    <t>LI-00590</t>
  </si>
  <si>
    <t>LI-00591</t>
  </si>
  <si>
    <t>LI-00592</t>
  </si>
  <si>
    <t>LI-00593</t>
  </si>
  <si>
    <t>LI-00594</t>
  </si>
  <si>
    <t>LI-00595</t>
  </si>
  <si>
    <t>LI-00596</t>
  </si>
  <si>
    <t>LI-00597</t>
  </si>
  <si>
    <t>LI-00598</t>
  </si>
  <si>
    <t>LI-00599</t>
  </si>
  <si>
    <t>LI-00600</t>
  </si>
  <si>
    <t>LI-00601</t>
  </si>
  <si>
    <t>LI-00602</t>
  </si>
  <si>
    <t>LI-00603</t>
  </si>
  <si>
    <t>LI-00604</t>
  </si>
  <si>
    <t>LI-00605</t>
  </si>
  <si>
    <t>PO-2025-1011</t>
  </si>
  <si>
    <t>LI-00606</t>
  </si>
  <si>
    <t>LI-00607</t>
  </si>
  <si>
    <t>LI-00608</t>
  </si>
  <si>
    <t>LI-00609</t>
  </si>
  <si>
    <t>LI-00610</t>
  </si>
  <si>
    <t>LI-00611</t>
  </si>
  <si>
    <t>LI-00612</t>
  </si>
  <si>
    <t>LI-00613</t>
  </si>
  <si>
    <t>LI-00614</t>
  </si>
  <si>
    <t>LI-00615</t>
  </si>
  <si>
    <t>LI-00616</t>
  </si>
  <si>
    <t>LI-00617</t>
  </si>
  <si>
    <t>LI-00618</t>
  </si>
  <si>
    <t>LI-00619</t>
  </si>
  <si>
    <t>LI-00620</t>
  </si>
  <si>
    <t>LI-00621</t>
  </si>
  <si>
    <t>LI-00622</t>
  </si>
  <si>
    <t>LI-00623</t>
  </si>
  <si>
    <t>LI-00624</t>
  </si>
  <si>
    <t>LI-00625</t>
  </si>
  <si>
    <t>LI-00626</t>
  </si>
  <si>
    <t>LI-00627</t>
  </si>
  <si>
    <t>LI-00628</t>
  </si>
  <si>
    <t>LI-00629</t>
  </si>
  <si>
    <t>LI-00630</t>
  </si>
  <si>
    <t>LI-00631</t>
  </si>
  <si>
    <t>LI-00632</t>
  </si>
  <si>
    <t>LI-00633</t>
  </si>
  <si>
    <t>LI-00634</t>
  </si>
  <si>
    <t>LI-00635</t>
  </si>
  <si>
    <t>LI-00636</t>
  </si>
  <si>
    <t>LI-00637</t>
  </si>
  <si>
    <t>LI-00638</t>
  </si>
  <si>
    <t>LI-00639</t>
  </si>
  <si>
    <t>LI-00640</t>
  </si>
  <si>
    <t>LI-00641</t>
  </si>
  <si>
    <t>LI-00642</t>
  </si>
  <si>
    <t>LI-00643</t>
  </si>
  <si>
    <t>LI-00644</t>
  </si>
  <si>
    <t>LI-00645</t>
  </si>
  <si>
    <t>LI-00646</t>
  </si>
  <si>
    <t>LI-00647</t>
  </si>
  <si>
    <t>LI-00648</t>
  </si>
  <si>
    <t>LI-00649</t>
  </si>
  <si>
    <t>PO-2025-1012</t>
  </si>
  <si>
    <t>LI-00650</t>
  </si>
  <si>
    <t>LI-00651</t>
  </si>
  <si>
    <t>LI-00652</t>
  </si>
  <si>
    <t>LI-00653</t>
  </si>
  <si>
    <t>LI-00654</t>
  </si>
  <si>
    <t>LI-00655</t>
  </si>
  <si>
    <t>LI-00656</t>
  </si>
  <si>
    <t>LI-00657</t>
  </si>
  <si>
    <t>LI-00658</t>
  </si>
  <si>
    <t>LI-00659</t>
  </si>
  <si>
    <t>LI-00660</t>
  </si>
  <si>
    <t>LI-00661</t>
  </si>
  <si>
    <t>LI-00662</t>
  </si>
  <si>
    <t>LI-00663</t>
  </si>
  <si>
    <t>LI-00664</t>
  </si>
  <si>
    <t>LI-00665</t>
  </si>
  <si>
    <t>LI-00666</t>
  </si>
  <si>
    <t>LI-00667</t>
  </si>
  <si>
    <t>LI-00668</t>
  </si>
  <si>
    <t>LI-00669</t>
  </si>
  <si>
    <t>LI-00670</t>
  </si>
  <si>
    <t>LI-00671</t>
  </si>
  <si>
    <t>LI-00672</t>
  </si>
  <si>
    <t>LI-00673</t>
  </si>
  <si>
    <t>LI-00674</t>
  </si>
  <si>
    <t>LI-00675</t>
  </si>
  <si>
    <t>LI-00676</t>
  </si>
  <si>
    <t>LI-00677</t>
  </si>
  <si>
    <t>LI-00678</t>
  </si>
  <si>
    <t>LI-00679</t>
  </si>
  <si>
    <t>LI-00680</t>
  </si>
  <si>
    <t>LI-00681</t>
  </si>
  <si>
    <t>LI-00682</t>
  </si>
  <si>
    <t>LI-00683</t>
  </si>
  <si>
    <t>LI-00684</t>
  </si>
  <si>
    <t>LI-00685</t>
  </si>
  <si>
    <t>LI-00686</t>
  </si>
  <si>
    <t>LI-00687</t>
  </si>
  <si>
    <t>LI-00688</t>
  </si>
  <si>
    <t>LI-00689</t>
  </si>
  <si>
    <t>LI-00690</t>
  </si>
  <si>
    <t>LI-00691</t>
  </si>
  <si>
    <t>LI-00692</t>
  </si>
  <si>
    <t>LI-00693</t>
  </si>
  <si>
    <t>LI-00694</t>
  </si>
  <si>
    <t>LI-00695</t>
  </si>
  <si>
    <t>LI-00696</t>
  </si>
  <si>
    <t>LI-00697</t>
  </si>
  <si>
    <t>LI-00698</t>
  </si>
  <si>
    <t>LI-00699</t>
  </si>
  <si>
    <t>LI-00700</t>
  </si>
  <si>
    <t>LI-00701</t>
  </si>
  <si>
    <t>LI-00702</t>
  </si>
  <si>
    <t>LI-00703</t>
  </si>
  <si>
    <t>LI-00704</t>
  </si>
  <si>
    <t>LI-00705</t>
  </si>
  <si>
    <t>LI-00706</t>
  </si>
  <si>
    <t>LI-00707</t>
  </si>
  <si>
    <t>LI-00708</t>
  </si>
  <si>
    <t>LI-00709</t>
  </si>
  <si>
    <t>LI-00710</t>
  </si>
  <si>
    <t>LI-00711</t>
  </si>
  <si>
    <t>LI-00712</t>
  </si>
  <si>
    <t>LI-00713</t>
  </si>
  <si>
    <t>LI-00714</t>
  </si>
  <si>
    <t>LI-00715</t>
  </si>
  <si>
    <t>LI-00716</t>
  </si>
  <si>
    <t>LI-00717</t>
  </si>
  <si>
    <t>LI-00718</t>
  </si>
  <si>
    <t>LI-00719</t>
  </si>
  <si>
    <t>LI-00720</t>
  </si>
  <si>
    <t>LI-00721</t>
  </si>
  <si>
    <t>LI-00722</t>
  </si>
  <si>
    <t>LI-00723</t>
  </si>
  <si>
    <t>LI-00724</t>
  </si>
  <si>
    <t>LI-00725</t>
  </si>
  <si>
    <t>LI-00726</t>
  </si>
  <si>
    <t>LI-00727</t>
  </si>
  <si>
    <t>LI-00728</t>
  </si>
  <si>
    <t>LI-00729</t>
  </si>
  <si>
    <t>LI-00730</t>
  </si>
  <si>
    <t>LI-00731</t>
  </si>
  <si>
    <t>LI-00732</t>
  </si>
  <si>
    <t>LI-00733</t>
  </si>
  <si>
    <t>LI-00734</t>
  </si>
  <si>
    <t>LI-00735</t>
  </si>
  <si>
    <t>LI-00736</t>
  </si>
  <si>
    <t>LI-00737</t>
  </si>
  <si>
    <t>LI-00738</t>
  </si>
  <si>
    <t>LI-00739</t>
  </si>
  <si>
    <t>LI-00740</t>
  </si>
  <si>
    <t>LI-00741</t>
  </si>
  <si>
    <t>LI-00742</t>
  </si>
  <si>
    <t>LI-00743</t>
  </si>
  <si>
    <t>LI-00744</t>
  </si>
  <si>
    <t>LI-00745</t>
  </si>
  <si>
    <t>LI-00746</t>
  </si>
  <si>
    <t>LI-00747</t>
  </si>
  <si>
    <t>LI-00748</t>
  </si>
  <si>
    <t>LI-00749</t>
  </si>
  <si>
    <t>LI-00750</t>
  </si>
  <si>
    <t>LI-00751</t>
  </si>
  <si>
    <t>LI-00752</t>
  </si>
  <si>
    <t>LI-00753</t>
  </si>
  <si>
    <t>LI-00754</t>
  </si>
  <si>
    <t>LI-00755</t>
  </si>
  <si>
    <t>LI-00756</t>
  </si>
  <si>
    <t>LI-00757</t>
  </si>
  <si>
    <t>LI-00758</t>
  </si>
  <si>
    <t>LI-00759</t>
  </si>
  <si>
    <t>LI-00760</t>
  </si>
  <si>
    <t>LI-00761</t>
  </si>
  <si>
    <t>LI-00762</t>
  </si>
  <si>
    <t>LI-00763</t>
  </si>
  <si>
    <t>LI-00764</t>
  </si>
  <si>
    <t>LI-00765</t>
  </si>
  <si>
    <t>LI-00766</t>
  </si>
  <si>
    <t>LI-00767</t>
  </si>
  <si>
    <t>PO-2025-1013</t>
  </si>
  <si>
    <t>LI-00768</t>
  </si>
  <si>
    <t>LI-00769</t>
  </si>
  <si>
    <t>LI-00770</t>
  </si>
  <si>
    <t>LI-00771</t>
  </si>
  <si>
    <t>LI-00772</t>
  </si>
  <si>
    <t>LI-00773</t>
  </si>
  <si>
    <t>LI-00774</t>
  </si>
  <si>
    <t>LI-00775</t>
  </si>
  <si>
    <t>LI-00776</t>
  </si>
  <si>
    <t>LI-00777</t>
  </si>
  <si>
    <t>LI-00778</t>
  </si>
  <si>
    <t>LI-00779</t>
  </si>
  <si>
    <t>LI-00780</t>
  </si>
  <si>
    <t>LI-00781</t>
  </si>
  <si>
    <t>LI-00782</t>
  </si>
  <si>
    <t>LI-00783</t>
  </si>
  <si>
    <t>LI-00784</t>
  </si>
  <si>
    <t>LI-00785</t>
  </si>
  <si>
    <t>LI-00786</t>
  </si>
  <si>
    <t>LI-00787</t>
  </si>
  <si>
    <t>LI-00788</t>
  </si>
  <si>
    <t>LI-00789</t>
  </si>
  <si>
    <t>LI-00790</t>
  </si>
  <si>
    <t>LI-00791</t>
  </si>
  <si>
    <t>LI-00792</t>
  </si>
  <si>
    <t>LI-00793</t>
  </si>
  <si>
    <t>LI-00794</t>
  </si>
  <si>
    <t>LI-00795</t>
  </si>
  <si>
    <t>LI-00796</t>
  </si>
  <si>
    <t>LI-00797</t>
  </si>
  <si>
    <t>LI-00798</t>
  </si>
  <si>
    <t>LI-00799</t>
  </si>
  <si>
    <t>LI-00800</t>
  </si>
  <si>
    <t>LI-00801</t>
  </si>
  <si>
    <t>LI-00802</t>
  </si>
  <si>
    <t>LI-00803</t>
  </si>
  <si>
    <t>LI-00804</t>
  </si>
  <si>
    <t>LI-00805</t>
  </si>
  <si>
    <t>LI-00806</t>
  </si>
  <si>
    <t>LI-00807</t>
  </si>
  <si>
    <t>LI-00808</t>
  </si>
  <si>
    <t>LI-00809</t>
  </si>
  <si>
    <t>LI-00810</t>
  </si>
  <si>
    <t>LI-00811</t>
  </si>
  <si>
    <t>LI-00812</t>
  </si>
  <si>
    <t>LI-00813</t>
  </si>
  <si>
    <t>LI-00814</t>
  </si>
  <si>
    <t>LI-00815</t>
  </si>
  <si>
    <t>LI-00816</t>
  </si>
  <si>
    <t>LI-00817</t>
  </si>
  <si>
    <t>LI-00818</t>
  </si>
  <si>
    <t>LI-00819</t>
  </si>
  <si>
    <t>LI-00820</t>
  </si>
  <si>
    <t>LI-00821</t>
  </si>
  <si>
    <t>LI-00822</t>
  </si>
  <si>
    <t>LI-00823</t>
  </si>
  <si>
    <t>LI-00824</t>
  </si>
  <si>
    <t>LI-00825</t>
  </si>
  <si>
    <t>LI-00826</t>
  </si>
  <si>
    <t>LI-00827</t>
  </si>
  <si>
    <t>LI-00828</t>
  </si>
  <si>
    <t>LI-00829</t>
  </si>
  <si>
    <t>LI-00830</t>
  </si>
  <si>
    <t>LI-00831</t>
  </si>
  <si>
    <t>LI-00832</t>
  </si>
  <si>
    <t>LI-00833</t>
  </si>
  <si>
    <t>LI-00834</t>
  </si>
  <si>
    <t>LI-00835</t>
  </si>
  <si>
    <t>PO-2025-1014</t>
  </si>
  <si>
    <t>LI-00836</t>
  </si>
  <si>
    <t>LI-00837</t>
  </si>
  <si>
    <t>LI-00838</t>
  </si>
  <si>
    <t>LI-00839</t>
  </si>
  <si>
    <t>LI-00840</t>
  </si>
  <si>
    <t>LI-00841</t>
  </si>
  <si>
    <t>LI-00842</t>
  </si>
  <si>
    <t>LI-00843</t>
  </si>
  <si>
    <t>LI-00844</t>
  </si>
  <si>
    <t>LI-00845</t>
  </si>
  <si>
    <t>LI-00846</t>
  </si>
  <si>
    <t>LI-00847</t>
  </si>
  <si>
    <t>LI-00848</t>
  </si>
  <si>
    <t>LI-00849</t>
  </si>
  <si>
    <t>LI-00850</t>
  </si>
  <si>
    <t>LI-00851</t>
  </si>
  <si>
    <t>LI-00852</t>
  </si>
  <si>
    <t>LI-00853</t>
  </si>
  <si>
    <t>LI-00854</t>
  </si>
  <si>
    <t>LI-00855</t>
  </si>
  <si>
    <t>LI-00856</t>
  </si>
  <si>
    <t>LI-00857</t>
  </si>
  <si>
    <t>LI-00858</t>
  </si>
  <si>
    <t>LI-00859</t>
  </si>
  <si>
    <t>LI-00860</t>
  </si>
  <si>
    <t>LI-00861</t>
  </si>
  <si>
    <t>LI-00862</t>
  </si>
  <si>
    <t>LI-00863</t>
  </si>
  <si>
    <t>LI-00864</t>
  </si>
  <si>
    <t>LI-00865</t>
  </si>
  <si>
    <t>LI-00866</t>
  </si>
  <si>
    <t>LI-00867</t>
  </si>
  <si>
    <t>LI-00868</t>
  </si>
  <si>
    <t>LI-00869</t>
  </si>
  <si>
    <t>LI-00870</t>
  </si>
  <si>
    <t>LI-00871</t>
  </si>
  <si>
    <t>LI-00872</t>
  </si>
  <si>
    <t>LI-00873</t>
  </si>
  <si>
    <t>LI-00874</t>
  </si>
  <si>
    <t>LI-00875</t>
  </si>
  <si>
    <t>LI-00876</t>
  </si>
  <si>
    <t>LI-00877</t>
  </si>
  <si>
    <t>LI-00878</t>
  </si>
  <si>
    <t>LI-00879</t>
  </si>
  <si>
    <t>LI-00880</t>
  </si>
  <si>
    <t>LI-00881</t>
  </si>
  <si>
    <t>LI-00882</t>
  </si>
  <si>
    <t>LI-00883</t>
  </si>
  <si>
    <t>LI-00884</t>
  </si>
  <si>
    <t>LI-00885</t>
  </si>
  <si>
    <t>LI-00886</t>
  </si>
  <si>
    <t>LI-00887</t>
  </si>
  <si>
    <t>LI-00888</t>
  </si>
  <si>
    <t>LI-00889</t>
  </si>
  <si>
    <t>LI-00890</t>
  </si>
  <si>
    <t>LI-00891</t>
  </si>
  <si>
    <t>LI-00892</t>
  </si>
  <si>
    <t>LI-00893</t>
  </si>
  <si>
    <t>LI-00894</t>
  </si>
  <si>
    <t>LI-00895</t>
  </si>
  <si>
    <t>LI-00896</t>
  </si>
  <si>
    <t>LI-00897</t>
  </si>
  <si>
    <t>LI-00898</t>
  </si>
  <si>
    <t>LI-00899</t>
  </si>
  <si>
    <t>LI-00900</t>
  </si>
  <si>
    <t>LI-00901</t>
  </si>
  <si>
    <t>LI-00902</t>
  </si>
  <si>
    <t>PO-2025-1015</t>
  </si>
  <si>
    <t>LI-00903</t>
  </si>
  <si>
    <t>LI-00904</t>
  </si>
  <si>
    <t>LI-00905</t>
  </si>
  <si>
    <t>LI-00906</t>
  </si>
  <si>
    <t>LI-00907</t>
  </si>
  <si>
    <t>LI-00908</t>
  </si>
  <si>
    <t>LI-00909</t>
  </si>
  <si>
    <t>LI-00910</t>
  </si>
  <si>
    <t>LI-00911</t>
  </si>
  <si>
    <t>LI-00912</t>
  </si>
  <si>
    <t>LI-00913</t>
  </si>
  <si>
    <t>LI-00914</t>
  </si>
  <si>
    <t>LI-00915</t>
  </si>
  <si>
    <t>LI-00916</t>
  </si>
  <si>
    <t>LI-00917</t>
  </si>
  <si>
    <t>LI-00918</t>
  </si>
  <si>
    <t>LI-00919</t>
  </si>
  <si>
    <t>LI-00920</t>
  </si>
  <si>
    <t>LI-00921</t>
  </si>
  <si>
    <t>LI-00922</t>
  </si>
  <si>
    <t>LI-00923</t>
  </si>
  <si>
    <t>LI-00924</t>
  </si>
  <si>
    <t>LI-00925</t>
  </si>
  <si>
    <t>LI-00926</t>
  </si>
  <si>
    <t>LI-00927</t>
  </si>
  <si>
    <t>LI-00928</t>
  </si>
  <si>
    <t>LI-00929</t>
  </si>
  <si>
    <t>LI-00930</t>
  </si>
  <si>
    <t>LI-00931</t>
  </si>
  <si>
    <t>LI-00932</t>
  </si>
  <si>
    <t>LI-00933</t>
  </si>
  <si>
    <t>LI-00934</t>
  </si>
  <si>
    <t>LI-00935</t>
  </si>
  <si>
    <t>LI-00936</t>
  </si>
  <si>
    <t>LI-00937</t>
  </si>
  <si>
    <t>LI-00938</t>
  </si>
  <si>
    <t>LI-00939</t>
  </si>
  <si>
    <t>LI-00940</t>
  </si>
  <si>
    <t>LI-00941</t>
  </si>
  <si>
    <t>LI-00942</t>
  </si>
  <si>
    <t>LI-00943</t>
  </si>
  <si>
    <t>LI-00944</t>
  </si>
  <si>
    <t>LI-00945</t>
  </si>
  <si>
    <t>LI-00946</t>
  </si>
  <si>
    <t>LI-00947</t>
  </si>
  <si>
    <t>LI-00948</t>
  </si>
  <si>
    <t>LI-00949</t>
  </si>
  <si>
    <t>LI-00950</t>
  </si>
  <si>
    <t>LI-00951</t>
  </si>
  <si>
    <t>LI-00952</t>
  </si>
  <si>
    <t>LI-00953</t>
  </si>
  <si>
    <t>LI-00954</t>
  </si>
  <si>
    <t>LI-00955</t>
  </si>
  <si>
    <t>LI-00956</t>
  </si>
  <si>
    <t>LI-00957</t>
  </si>
  <si>
    <t>LI-00958</t>
  </si>
  <si>
    <t>LI-00959</t>
  </si>
  <si>
    <t>LI-00960</t>
  </si>
  <si>
    <t>LI-00961</t>
  </si>
  <si>
    <t>LI-00962</t>
  </si>
  <si>
    <t>LI-00963</t>
  </si>
  <si>
    <t>LI-00964</t>
  </si>
  <si>
    <t>LI-00965</t>
  </si>
  <si>
    <t>LI-00966</t>
  </si>
  <si>
    <t>LI-00967</t>
  </si>
  <si>
    <t>LI-00968</t>
  </si>
  <si>
    <t>LI-00969</t>
  </si>
  <si>
    <t>LI-00970</t>
  </si>
  <si>
    <t>LI-00971</t>
  </si>
  <si>
    <t>LI-00972</t>
  </si>
  <si>
    <t>LI-00973</t>
  </si>
  <si>
    <t>LI-00974</t>
  </si>
  <si>
    <t>LI-00975</t>
  </si>
  <si>
    <t>LI-00976</t>
  </si>
  <si>
    <t>LI-00977</t>
  </si>
  <si>
    <t>LI-00978</t>
  </si>
  <si>
    <t>LI-00979</t>
  </si>
  <si>
    <t>LI-00980</t>
  </si>
  <si>
    <t>LI-00981</t>
  </si>
  <si>
    <t>LI-00982</t>
  </si>
  <si>
    <t>LI-00983</t>
  </si>
  <si>
    <t>LI-00984</t>
  </si>
  <si>
    <t>LI-00985</t>
  </si>
  <si>
    <t>LI-00986</t>
  </si>
  <si>
    <t>LI-00987</t>
  </si>
  <si>
    <t>LI-00988</t>
  </si>
  <si>
    <t>LI-00989</t>
  </si>
  <si>
    <t>LI-00990</t>
  </si>
  <si>
    <t>LI-00991</t>
  </si>
  <si>
    <t>LI-00992</t>
  </si>
  <si>
    <t>LI-00993</t>
  </si>
  <si>
    <t>LI-00994</t>
  </si>
  <si>
    <t>LI-00995</t>
  </si>
  <si>
    <t>LI-00996</t>
  </si>
  <si>
    <t>LI-00997</t>
  </si>
  <si>
    <t>LI-00998</t>
  </si>
  <si>
    <t>LI-00999</t>
  </si>
  <si>
    <t>PO-2025-1016</t>
  </si>
  <si>
    <t>LI-01000</t>
  </si>
  <si>
    <t>LI-01001</t>
  </si>
  <si>
    <t>LI-01002</t>
  </si>
  <si>
    <t>LI-01003</t>
  </si>
  <si>
    <t>LI-01004</t>
  </si>
  <si>
    <t>LI-01005</t>
  </si>
  <si>
    <t>LI-01006</t>
  </si>
  <si>
    <t>LI-01007</t>
  </si>
  <si>
    <t>LI-01008</t>
  </si>
  <si>
    <t>LI-01009</t>
  </si>
  <si>
    <t>LI-01010</t>
  </si>
  <si>
    <t>LI-01011</t>
  </si>
  <si>
    <t>LI-01012</t>
  </si>
  <si>
    <t>LI-01013</t>
  </si>
  <si>
    <t>LI-01014</t>
  </si>
  <si>
    <t>LI-01015</t>
  </si>
  <si>
    <t>LI-01016</t>
  </si>
  <si>
    <t>LI-01017</t>
  </si>
  <si>
    <t>LI-01018</t>
  </si>
  <si>
    <t>LI-01019</t>
  </si>
  <si>
    <t>LI-01020</t>
  </si>
  <si>
    <t>LI-01021</t>
  </si>
  <si>
    <t>LI-01022</t>
  </si>
  <si>
    <t>LI-01023</t>
  </si>
  <si>
    <t>LI-01024</t>
  </si>
  <si>
    <t>LI-01025</t>
  </si>
  <si>
    <t>LI-01026</t>
  </si>
  <si>
    <t>LI-01027</t>
  </si>
  <si>
    <t>LI-01028</t>
  </si>
  <si>
    <t>LI-01029</t>
  </si>
  <si>
    <t>LI-01030</t>
  </si>
  <si>
    <t>LI-01031</t>
  </si>
  <si>
    <t>LI-01032</t>
  </si>
  <si>
    <t>LI-01033</t>
  </si>
  <si>
    <t>LI-01034</t>
  </si>
  <si>
    <t>LI-01035</t>
  </si>
  <si>
    <t>LI-01036</t>
  </si>
  <si>
    <t>LI-01037</t>
  </si>
  <si>
    <t>LI-01038</t>
  </si>
  <si>
    <t>LI-01039</t>
  </si>
  <si>
    <t>LI-01040</t>
  </si>
  <si>
    <t>LI-01041</t>
  </si>
  <si>
    <t>LI-01042</t>
  </si>
  <si>
    <t>LI-01043</t>
  </si>
  <si>
    <t>LI-01044</t>
  </si>
  <si>
    <t>LI-01045</t>
  </si>
  <si>
    <t>LI-01046</t>
  </si>
  <si>
    <t>LI-01047</t>
  </si>
  <si>
    <t>LI-01048</t>
  </si>
  <si>
    <t>LI-01049</t>
  </si>
  <si>
    <t>LI-01050</t>
  </si>
  <si>
    <t>LI-01051</t>
  </si>
  <si>
    <t>LI-01052</t>
  </si>
  <si>
    <t>LI-01053</t>
  </si>
  <si>
    <t>LI-01054</t>
  </si>
  <si>
    <t>LI-01055</t>
  </si>
  <si>
    <t>LI-01056</t>
  </si>
  <si>
    <t>LI-01057</t>
  </si>
  <si>
    <t>LI-01058</t>
  </si>
  <si>
    <t>LI-01059</t>
  </si>
  <si>
    <t>LI-01060</t>
  </si>
  <si>
    <t>LI-01061</t>
  </si>
  <si>
    <t>LI-01062</t>
  </si>
  <si>
    <t>LI-01063</t>
  </si>
  <si>
    <t>LI-01064</t>
  </si>
  <si>
    <t>LI-01065</t>
  </si>
  <si>
    <t>LI-01066</t>
  </si>
  <si>
    <t>LI-01067</t>
  </si>
  <si>
    <t>LI-01068</t>
  </si>
  <si>
    <t>LI-01069</t>
  </si>
  <si>
    <t>LI-01070</t>
  </si>
  <si>
    <t>LI-01071</t>
  </si>
  <si>
    <t>LI-01072</t>
  </si>
  <si>
    <t>LI-01073</t>
  </si>
  <si>
    <t>LI-01074</t>
  </si>
  <si>
    <t>LI-01075</t>
  </si>
  <si>
    <t>LI-01076</t>
  </si>
  <si>
    <t>LI-01077</t>
  </si>
  <si>
    <t>LI-01078</t>
  </si>
  <si>
    <t>PO-2025-1017</t>
  </si>
  <si>
    <t>LI-01079</t>
  </si>
  <si>
    <t>LI-01080</t>
  </si>
  <si>
    <t>LI-01081</t>
  </si>
  <si>
    <t>LI-01082</t>
  </si>
  <si>
    <t>LI-01083</t>
  </si>
  <si>
    <t>LI-01084</t>
  </si>
  <si>
    <t>LI-01085</t>
  </si>
  <si>
    <t>LI-01086</t>
  </si>
  <si>
    <t>LI-01087</t>
  </si>
  <si>
    <t>LI-01088</t>
  </si>
  <si>
    <t>LI-01089</t>
  </si>
  <si>
    <t>LI-01090</t>
  </si>
  <si>
    <t>LI-01091</t>
  </si>
  <si>
    <t>LI-01092</t>
  </si>
  <si>
    <t>LI-01093</t>
  </si>
  <si>
    <t>LI-01094</t>
  </si>
  <si>
    <t>LI-01095</t>
  </si>
  <si>
    <t>LI-01096</t>
  </si>
  <si>
    <t>LI-01097</t>
  </si>
  <si>
    <t>LI-01098</t>
  </si>
  <si>
    <t>LI-01099</t>
  </si>
  <si>
    <t>LI-01100</t>
  </si>
  <si>
    <t>LI-01101</t>
  </si>
  <si>
    <t>LI-01102</t>
  </si>
  <si>
    <t>LI-01103</t>
  </si>
  <si>
    <t>LI-01104</t>
  </si>
  <si>
    <t>LI-01105</t>
  </si>
  <si>
    <t>LI-01106</t>
  </si>
  <si>
    <t>LI-01107</t>
  </si>
  <si>
    <t>LI-01108</t>
  </si>
  <si>
    <t>LI-01109</t>
  </si>
  <si>
    <t>LI-01110</t>
  </si>
  <si>
    <t>LI-01111</t>
  </si>
  <si>
    <t>LI-01112</t>
  </si>
  <si>
    <t>LI-01113</t>
  </si>
  <si>
    <t>LI-01114</t>
  </si>
  <si>
    <t>LI-01115</t>
  </si>
  <si>
    <t>LI-01116</t>
  </si>
  <si>
    <t>LI-01117</t>
  </si>
  <si>
    <t>LI-01118</t>
  </si>
  <si>
    <t>LI-01119</t>
  </si>
  <si>
    <t>LI-01120</t>
  </si>
  <si>
    <t>LI-01121</t>
  </si>
  <si>
    <t>LI-01122</t>
  </si>
  <si>
    <t>LI-01123</t>
  </si>
  <si>
    <t>LI-01124</t>
  </si>
  <si>
    <t>LI-01125</t>
  </si>
  <si>
    <t>LI-01126</t>
  </si>
  <si>
    <t>LI-01127</t>
  </si>
  <si>
    <t>LI-01128</t>
  </si>
  <si>
    <t>LI-01129</t>
  </si>
  <si>
    <t>LI-01130</t>
  </si>
  <si>
    <t>LI-01131</t>
  </si>
  <si>
    <t>LI-01132</t>
  </si>
  <si>
    <t>LI-01133</t>
  </si>
  <si>
    <t>LI-01134</t>
  </si>
  <si>
    <t>LI-01135</t>
  </si>
  <si>
    <t>LI-01136</t>
  </si>
  <si>
    <t>LI-01137</t>
  </si>
  <si>
    <t>LI-01138</t>
  </si>
  <si>
    <t>LI-01139</t>
  </si>
  <si>
    <t>LI-01140</t>
  </si>
  <si>
    <t>LI-01141</t>
  </si>
  <si>
    <t>LI-01142</t>
  </si>
  <si>
    <t>LI-01143</t>
  </si>
  <si>
    <t>LI-01144</t>
  </si>
  <si>
    <t>LI-01145</t>
  </si>
  <si>
    <t>LI-01146</t>
  </si>
  <si>
    <t>LI-01147</t>
  </si>
  <si>
    <t>LI-01148</t>
  </si>
  <si>
    <t>LI-01149</t>
  </si>
  <si>
    <t>LI-01150</t>
  </si>
  <si>
    <t>LI-01151</t>
  </si>
  <si>
    <t>LI-01152</t>
  </si>
  <si>
    <t>LI-01153</t>
  </si>
  <si>
    <t>LI-01154</t>
  </si>
  <si>
    <t>LI-01155</t>
  </si>
  <si>
    <t>LI-01156</t>
  </si>
  <si>
    <t>LI-01157</t>
  </si>
  <si>
    <t>LI-01158</t>
  </si>
  <si>
    <t>LI-01159</t>
  </si>
  <si>
    <t>LI-01160</t>
  </si>
  <si>
    <t>LI-01161</t>
  </si>
  <si>
    <t>LI-01162</t>
  </si>
  <si>
    <t>LI-01163</t>
  </si>
  <si>
    <t>LI-01164</t>
  </si>
  <si>
    <t>LI-01165</t>
  </si>
  <si>
    <t>LI-01166</t>
  </si>
  <si>
    <t>LI-01167</t>
  </si>
  <si>
    <t>LI-01168</t>
  </si>
  <si>
    <t>LI-01169</t>
  </si>
  <si>
    <t>LI-01170</t>
  </si>
  <si>
    <t>LI-01171</t>
  </si>
  <si>
    <t>LI-01172</t>
  </si>
  <si>
    <t>LI-01173</t>
  </si>
  <si>
    <t>LI-01174</t>
  </si>
  <si>
    <t>LI-01175</t>
  </si>
  <si>
    <t>LI-01176</t>
  </si>
  <si>
    <t>LI-01177</t>
  </si>
  <si>
    <t>LI-01178</t>
  </si>
  <si>
    <t>LI-01179</t>
  </si>
  <si>
    <t>LI-01180</t>
  </si>
  <si>
    <t>LI-01181</t>
  </si>
  <si>
    <t>LI-01182</t>
  </si>
  <si>
    <t>LI-01183</t>
  </si>
  <si>
    <t>LI-01184</t>
  </si>
  <si>
    <t>LI-01185</t>
  </si>
  <si>
    <t>LI-01186</t>
  </si>
  <si>
    <t>LI-01187</t>
  </si>
  <si>
    <t>LI-01188</t>
  </si>
  <si>
    <t>LI-01189</t>
  </si>
  <si>
    <t>LI-01190</t>
  </si>
  <si>
    <t>LI-01191</t>
  </si>
  <si>
    <t>LI-01192</t>
  </si>
  <si>
    <t>LI-01193</t>
  </si>
  <si>
    <t>LI-01194</t>
  </si>
  <si>
    <t>LI-01195</t>
  </si>
  <si>
    <t>LI-01196</t>
  </si>
  <si>
    <t>LI-01197</t>
  </si>
  <si>
    <t>LI-01198</t>
  </si>
  <si>
    <t>LI-01199</t>
  </si>
  <si>
    <t>LI-01200</t>
  </si>
  <si>
    <t>LI-01201</t>
  </si>
  <si>
    <t>LI-01202</t>
  </si>
  <si>
    <t>LI-01203</t>
  </si>
  <si>
    <t>LI-01204</t>
  </si>
  <si>
    <t>LI-01205</t>
  </si>
  <si>
    <t>PO-2025-1018</t>
  </si>
  <si>
    <t>LI-01206</t>
  </si>
  <si>
    <t>LI-01207</t>
  </si>
  <si>
    <t>LI-01208</t>
  </si>
  <si>
    <t>LI-01209</t>
  </si>
  <si>
    <t>LI-01210</t>
  </si>
  <si>
    <t>LI-01211</t>
  </si>
  <si>
    <t>LI-01212</t>
  </si>
  <si>
    <t>LI-01213</t>
  </si>
  <si>
    <t>LI-01214</t>
  </si>
  <si>
    <t>LI-01215</t>
  </si>
  <si>
    <t>LI-01216</t>
  </si>
  <si>
    <t>LI-01217</t>
  </si>
  <si>
    <t>LI-01218</t>
  </si>
  <si>
    <t>LI-01219</t>
  </si>
  <si>
    <t>LI-01220</t>
  </si>
  <si>
    <t>LI-01221</t>
  </si>
  <si>
    <t>LI-01222</t>
  </si>
  <si>
    <t>LI-01223</t>
  </si>
  <si>
    <t>LI-01224</t>
  </si>
  <si>
    <t>LI-01225</t>
  </si>
  <si>
    <t>LI-01226</t>
  </si>
  <si>
    <t>LI-01227</t>
  </si>
  <si>
    <t>LI-01228</t>
  </si>
  <si>
    <t>LI-01229</t>
  </si>
  <si>
    <t>LI-01230</t>
  </si>
  <si>
    <t>LI-01231</t>
  </si>
  <si>
    <t>LI-01232</t>
  </si>
  <si>
    <t>LI-01233</t>
  </si>
  <si>
    <t>LI-01234</t>
  </si>
  <si>
    <t>LI-01235</t>
  </si>
  <si>
    <t>LI-01236</t>
  </si>
  <si>
    <t>LI-01237</t>
  </si>
  <si>
    <t>LI-01238</t>
  </si>
  <si>
    <t>LI-01239</t>
  </si>
  <si>
    <t>LI-01240</t>
  </si>
  <si>
    <t>LI-01241</t>
  </si>
  <si>
    <t>LI-01242</t>
  </si>
  <si>
    <t>LI-01243</t>
  </si>
  <si>
    <t>LI-01244</t>
  </si>
  <si>
    <t>LI-01245</t>
  </si>
  <si>
    <t>LI-01246</t>
  </si>
  <si>
    <t>LI-01247</t>
  </si>
  <si>
    <t>LI-01248</t>
  </si>
  <si>
    <t>LI-01249</t>
  </si>
  <si>
    <t>LI-01250</t>
  </si>
  <si>
    <t>LI-01251</t>
  </si>
  <si>
    <t>LI-01252</t>
  </si>
  <si>
    <t>LI-01253</t>
  </si>
  <si>
    <t>LI-01254</t>
  </si>
  <si>
    <t>LI-01255</t>
  </si>
  <si>
    <t>LI-01256</t>
  </si>
  <si>
    <t>LI-01257</t>
  </si>
  <si>
    <t>LI-01258</t>
  </si>
  <si>
    <t>LI-01259</t>
  </si>
  <si>
    <t>LI-01260</t>
  </si>
  <si>
    <t>LI-01261</t>
  </si>
  <si>
    <t>LI-01262</t>
  </si>
  <si>
    <t>LI-01263</t>
  </si>
  <si>
    <t>LI-01264</t>
  </si>
  <si>
    <t>LI-01265</t>
  </si>
  <si>
    <t>LI-01266</t>
  </si>
  <si>
    <t>LI-01267</t>
  </si>
  <si>
    <t>LI-01268</t>
  </si>
  <si>
    <t>LI-01269</t>
  </si>
  <si>
    <t>LI-01270</t>
  </si>
  <si>
    <t>LI-01271</t>
  </si>
  <si>
    <t>LI-01272</t>
  </si>
  <si>
    <t>LI-01273</t>
  </si>
  <si>
    <t>LI-01274</t>
  </si>
  <si>
    <t>LI-01275</t>
  </si>
  <si>
    <t>LI-01276</t>
  </si>
  <si>
    <t>LI-01277</t>
  </si>
  <si>
    <t>LI-01278</t>
  </si>
  <si>
    <t>LI-01279</t>
  </si>
  <si>
    <t>LI-01280</t>
  </si>
  <si>
    <t>LI-01281</t>
  </si>
  <si>
    <t>LI-01282</t>
  </si>
  <si>
    <t>LI-01283</t>
  </si>
  <si>
    <t>LI-01284</t>
  </si>
  <si>
    <t>LI-01285</t>
  </si>
  <si>
    <t>LI-01286</t>
  </si>
  <si>
    <t>LI-01287</t>
  </si>
  <si>
    <t>LI-01288</t>
  </si>
  <si>
    <t>LI-01289</t>
  </si>
  <si>
    <t>LI-01290</t>
  </si>
  <si>
    <t>LI-01291</t>
  </si>
  <si>
    <t>LI-01292</t>
  </si>
  <si>
    <t>LI-01293</t>
  </si>
  <si>
    <t>LI-01294</t>
  </si>
  <si>
    <t>LI-01295</t>
  </si>
  <si>
    <t>LI-01296</t>
  </si>
  <si>
    <t>LI-01297</t>
  </si>
  <si>
    <t>LI-01298</t>
  </si>
  <si>
    <t>LI-01299</t>
  </si>
  <si>
    <t>LI-01300</t>
  </si>
  <si>
    <t>LI-01301</t>
  </si>
  <si>
    <t>LI-01302</t>
  </si>
  <si>
    <t>LI-01303</t>
  </si>
  <si>
    <t>LI-01304</t>
  </si>
  <si>
    <t>LI-01305</t>
  </si>
  <si>
    <t>LI-01306</t>
  </si>
  <si>
    <t>LI-01307</t>
  </si>
  <si>
    <t>LI-01308</t>
  </si>
  <si>
    <t>LI-01309</t>
  </si>
  <si>
    <t>LI-01310</t>
  </si>
  <si>
    <t>LI-01311</t>
  </si>
  <si>
    <t>LI-01312</t>
  </si>
  <si>
    <t>LI-01313</t>
  </si>
  <si>
    <t>LI-01314</t>
  </si>
  <si>
    <t>LI-01315</t>
  </si>
  <si>
    <t>LI-01316</t>
  </si>
  <si>
    <t>LI-01317</t>
  </si>
  <si>
    <t>LI-01318</t>
  </si>
  <si>
    <t>LI-01319</t>
  </si>
  <si>
    <t>LI-01320</t>
  </si>
  <si>
    <t>LI-01321</t>
  </si>
  <si>
    <t>LI-01322</t>
  </si>
  <si>
    <t>LI-01323</t>
  </si>
  <si>
    <t>LI-01324</t>
  </si>
  <si>
    <t>LI-01325</t>
  </si>
  <si>
    <t>LI-01326</t>
  </si>
  <si>
    <t>LI-01327</t>
  </si>
  <si>
    <t>LI-01328</t>
  </si>
  <si>
    <t>PO-2025-1019</t>
  </si>
  <si>
    <t>LI-01329</t>
  </si>
  <si>
    <t>LI-01330</t>
  </si>
  <si>
    <t>LI-01331</t>
  </si>
  <si>
    <t>LI-01332</t>
  </si>
  <si>
    <t>LI-01333</t>
  </si>
  <si>
    <t>LI-01334</t>
  </si>
  <si>
    <t>LI-01335</t>
  </si>
  <si>
    <t>LI-01336</t>
  </si>
  <si>
    <t>LI-01337</t>
  </si>
  <si>
    <t>LI-01338</t>
  </si>
  <si>
    <t>LI-01339</t>
  </si>
  <si>
    <t>LI-01340</t>
  </si>
  <si>
    <t>LI-01341</t>
  </si>
  <si>
    <t>LI-01342</t>
  </si>
  <si>
    <t>LI-01343</t>
  </si>
  <si>
    <t>LI-01344</t>
  </si>
  <si>
    <t>LI-01345</t>
  </si>
  <si>
    <t>LI-01346</t>
  </si>
  <si>
    <t>LI-01347</t>
  </si>
  <si>
    <t>LI-01348</t>
  </si>
  <si>
    <t>LI-01349</t>
  </si>
  <si>
    <t>LI-01350</t>
  </si>
  <si>
    <t>LI-01351</t>
  </si>
  <si>
    <t>LI-01352</t>
  </si>
  <si>
    <t>LI-01353</t>
  </si>
  <si>
    <t>LI-01354</t>
  </si>
  <si>
    <t>LI-01355</t>
  </si>
  <si>
    <t>LI-01356</t>
  </si>
  <si>
    <t>LI-01357</t>
  </si>
  <si>
    <t>LI-01358</t>
  </si>
  <si>
    <t>LI-01359</t>
  </si>
  <si>
    <t>LI-01360</t>
  </si>
  <si>
    <t>LI-01361</t>
  </si>
  <si>
    <t>LI-01362</t>
  </si>
  <si>
    <t>LI-01363</t>
  </si>
  <si>
    <t>LI-01364</t>
  </si>
  <si>
    <t>LI-01365</t>
  </si>
  <si>
    <t>LI-01366</t>
  </si>
  <si>
    <t>LI-01367</t>
  </si>
  <si>
    <t>LI-01368</t>
  </si>
  <si>
    <t>LI-01369</t>
  </si>
  <si>
    <t>LI-01370</t>
  </si>
  <si>
    <t>LI-01371</t>
  </si>
  <si>
    <t>LI-01372</t>
  </si>
  <si>
    <t>LI-01373</t>
  </si>
  <si>
    <t>LI-01374</t>
  </si>
  <si>
    <t>LI-01375</t>
  </si>
  <si>
    <t>PO-2025-1020</t>
  </si>
  <si>
    <t>LI-01376</t>
  </si>
  <si>
    <t>LI-01377</t>
  </si>
  <si>
    <t>LI-01378</t>
  </si>
  <si>
    <t>LI-01379</t>
  </si>
  <si>
    <t>LI-01380</t>
  </si>
  <si>
    <t>LI-01381</t>
  </si>
  <si>
    <t>LI-01382</t>
  </si>
  <si>
    <t>LI-01383</t>
  </si>
  <si>
    <t>LI-01384</t>
  </si>
  <si>
    <t>LI-01385</t>
  </si>
  <si>
    <t>LI-01386</t>
  </si>
  <si>
    <t>LI-01387</t>
  </si>
  <si>
    <t>LI-01388</t>
  </si>
  <si>
    <t>LI-01389</t>
  </si>
  <si>
    <t>LI-01390</t>
  </si>
  <si>
    <t>LI-01391</t>
  </si>
  <si>
    <t>LI-01392</t>
  </si>
  <si>
    <t>LI-01393</t>
  </si>
  <si>
    <t>LI-01394</t>
  </si>
  <si>
    <t>LI-01395</t>
  </si>
  <si>
    <t>LI-01396</t>
  </si>
  <si>
    <t>LI-01397</t>
  </si>
  <si>
    <t>LI-01398</t>
  </si>
  <si>
    <t>LI-01399</t>
  </si>
  <si>
    <t>LI-01400</t>
  </si>
  <si>
    <t>LI-01401</t>
  </si>
  <si>
    <t>LI-01402</t>
  </si>
  <si>
    <t>LI-01403</t>
  </si>
  <si>
    <t>LI-01404</t>
  </si>
  <si>
    <t>LI-01405</t>
  </si>
  <si>
    <t>LI-01406</t>
  </si>
  <si>
    <t>LI-01407</t>
  </si>
  <si>
    <t>LI-01408</t>
  </si>
  <si>
    <t>LI-01409</t>
  </si>
  <si>
    <t>LI-01410</t>
  </si>
  <si>
    <t>LI-01411</t>
  </si>
  <si>
    <t>LI-01412</t>
  </si>
  <si>
    <t>LI-01413</t>
  </si>
  <si>
    <t>LI-01414</t>
  </si>
  <si>
    <t>LI-01415</t>
  </si>
  <si>
    <t>LI-01416</t>
  </si>
  <si>
    <t>LI-01417</t>
  </si>
  <si>
    <t>LI-01418</t>
  </si>
  <si>
    <t>LI-01419</t>
  </si>
  <si>
    <t>LI-01420</t>
  </si>
  <si>
    <t>LI-01421</t>
  </si>
  <si>
    <t>LI-01422</t>
  </si>
  <si>
    <t>LI-01423</t>
  </si>
  <si>
    <t>LI-01424</t>
  </si>
  <si>
    <t>LI-01425</t>
  </si>
  <si>
    <t>LI-01426</t>
  </si>
  <si>
    <t>LI-01427</t>
  </si>
  <si>
    <t>LI-01428</t>
  </si>
  <si>
    <t>LI-01429</t>
  </si>
  <si>
    <t>LI-01430</t>
  </si>
  <si>
    <t>LI-01431</t>
  </si>
  <si>
    <t>LI-01432</t>
  </si>
  <si>
    <t>LI-01433</t>
  </si>
  <si>
    <t>LI-01434</t>
  </si>
  <si>
    <t>LI-01435</t>
  </si>
  <si>
    <t>LI-01436</t>
  </si>
  <si>
    <t>LI-01437</t>
  </si>
  <si>
    <t>LI-01438</t>
  </si>
  <si>
    <t>LI-01439</t>
  </si>
  <si>
    <t>LI-01440</t>
  </si>
  <si>
    <t>LI-01441</t>
  </si>
  <si>
    <t>LI-01442</t>
  </si>
  <si>
    <t>LI-01443</t>
  </si>
  <si>
    <t>LI-01444</t>
  </si>
  <si>
    <t>LI-01445</t>
  </si>
  <si>
    <t>LI-01446</t>
  </si>
  <si>
    <t>LI-01447</t>
  </si>
  <si>
    <t>LI-01448</t>
  </si>
  <si>
    <t>LI-01449</t>
  </si>
  <si>
    <t>LI-01450</t>
  </si>
  <si>
    <t>LI-01451</t>
  </si>
  <si>
    <t>LI-01452</t>
  </si>
  <si>
    <t>LI-01453</t>
  </si>
  <si>
    <t>LI-01454</t>
  </si>
  <si>
    <t>LI-01455</t>
  </si>
  <si>
    <t>LI-01456</t>
  </si>
  <si>
    <t>LI-01457</t>
  </si>
  <si>
    <t>LI-01458</t>
  </si>
  <si>
    <t>LI-01459</t>
  </si>
  <si>
    <t>LI-01460</t>
  </si>
  <si>
    <t>LI-01461</t>
  </si>
  <si>
    <t>LI-01462</t>
  </si>
  <si>
    <t>LI-01463</t>
  </si>
  <si>
    <t>LI-01464</t>
  </si>
  <si>
    <t>LI-01465</t>
  </si>
  <si>
    <t>LI-01466</t>
  </si>
  <si>
    <t>LI-01467</t>
  </si>
  <si>
    <t>LI-01468</t>
  </si>
  <si>
    <t>LI-01469</t>
  </si>
  <si>
    <t>LI-01470</t>
  </si>
  <si>
    <t>LI-01471</t>
  </si>
  <si>
    <t>LI-01472</t>
  </si>
  <si>
    <t>LI-01473</t>
  </si>
  <si>
    <t>LI-01474</t>
  </si>
  <si>
    <t>LI-01475</t>
  </si>
  <si>
    <t>LI-01476</t>
  </si>
  <si>
    <t>LI-01477</t>
  </si>
  <si>
    <t>LI-01478</t>
  </si>
  <si>
    <t>PO-2025-1021</t>
  </si>
  <si>
    <t>LI-01479</t>
  </si>
  <si>
    <t>LI-01480</t>
  </si>
  <si>
    <t>LI-01481</t>
  </si>
  <si>
    <t>LI-01482</t>
  </si>
  <si>
    <t>LI-01483</t>
  </si>
  <si>
    <t>LI-01484</t>
  </si>
  <si>
    <t>LI-01485</t>
  </si>
  <si>
    <t>LI-01486</t>
  </si>
  <si>
    <t>LI-01487</t>
  </si>
  <si>
    <t>LI-01488</t>
  </si>
  <si>
    <t>LI-01489</t>
  </si>
  <si>
    <t>LI-01490</t>
  </si>
  <si>
    <t>LI-01491</t>
  </si>
  <si>
    <t>LI-01492</t>
  </si>
  <si>
    <t>LI-01493</t>
  </si>
  <si>
    <t>LI-01494</t>
  </si>
  <si>
    <t>LI-01495</t>
  </si>
  <si>
    <t>LI-01496</t>
  </si>
  <si>
    <t>LI-01497</t>
  </si>
  <si>
    <t>LI-01498</t>
  </si>
  <si>
    <t>LI-01499</t>
  </si>
  <si>
    <t>LI-01500</t>
  </si>
  <si>
    <t>LI-01501</t>
  </si>
  <si>
    <t>LI-01502</t>
  </si>
  <si>
    <t>LI-01503</t>
  </si>
  <si>
    <t>LI-01504</t>
  </si>
  <si>
    <t>LI-01505</t>
  </si>
  <si>
    <t>LI-01506</t>
  </si>
  <si>
    <t>LI-01507</t>
  </si>
  <si>
    <t>LI-01508</t>
  </si>
  <si>
    <t>LI-01509</t>
  </si>
  <si>
    <t>LI-01510</t>
  </si>
  <si>
    <t>LI-01511</t>
  </si>
  <si>
    <t>LI-01512</t>
  </si>
  <si>
    <t>LI-01513</t>
  </si>
  <si>
    <t>LI-01514</t>
  </si>
  <si>
    <t>LI-01515</t>
  </si>
  <si>
    <t>LI-01516</t>
  </si>
  <si>
    <t>LI-01517</t>
  </si>
  <si>
    <t>LI-01518</t>
  </si>
  <si>
    <t>LI-01519</t>
  </si>
  <si>
    <t>LI-01520</t>
  </si>
  <si>
    <t>LI-01521</t>
  </si>
  <si>
    <t>LI-01522</t>
  </si>
  <si>
    <t>LI-01523</t>
  </si>
  <si>
    <t>LI-01524</t>
  </si>
  <si>
    <t>LI-01525</t>
  </si>
  <si>
    <t>LI-01526</t>
  </si>
  <si>
    <t>LI-01527</t>
  </si>
  <si>
    <t>LI-01528</t>
  </si>
  <si>
    <t>LI-01529</t>
  </si>
  <si>
    <t>LI-01530</t>
  </si>
  <si>
    <t>LI-01531</t>
  </si>
  <si>
    <t>PO-2025-1022</t>
  </si>
  <si>
    <t>LI-01532</t>
  </si>
  <si>
    <t>LI-01533</t>
  </si>
  <si>
    <t>LI-01534</t>
  </si>
  <si>
    <t>LI-01535</t>
  </si>
  <si>
    <t>LI-01536</t>
  </si>
  <si>
    <t>LI-01537</t>
  </si>
  <si>
    <t>LI-01538</t>
  </si>
  <si>
    <t>LI-01539</t>
  </si>
  <si>
    <t>LI-01540</t>
  </si>
  <si>
    <t>LI-01541</t>
  </si>
  <si>
    <t>LI-01542</t>
  </si>
  <si>
    <t>LI-01543</t>
  </si>
  <si>
    <t>LI-01544</t>
  </si>
  <si>
    <t>LI-01545</t>
  </si>
  <si>
    <t>LI-01546</t>
  </si>
  <si>
    <t>LI-01547</t>
  </si>
  <si>
    <t>LI-01548</t>
  </si>
  <si>
    <t>LI-01549</t>
  </si>
  <si>
    <t>LI-01550</t>
  </si>
  <si>
    <t>LI-01551</t>
  </si>
  <si>
    <t>LI-01552</t>
  </si>
  <si>
    <t>LI-01553</t>
  </si>
  <si>
    <t>LI-01554</t>
  </si>
  <si>
    <t>LI-01555</t>
  </si>
  <si>
    <t>LI-01556</t>
  </si>
  <si>
    <t>LI-01557</t>
  </si>
  <si>
    <t>LI-01558</t>
  </si>
  <si>
    <t>LI-01559</t>
  </si>
  <si>
    <t>LI-01560</t>
  </si>
  <si>
    <t>LI-01561</t>
  </si>
  <si>
    <t>LI-01562</t>
  </si>
  <si>
    <t>LI-01563</t>
  </si>
  <si>
    <t>LI-01564</t>
  </si>
  <si>
    <t>LI-01565</t>
  </si>
  <si>
    <t>LI-01566</t>
  </si>
  <si>
    <t>LI-01567</t>
  </si>
  <si>
    <t>LI-01568</t>
  </si>
  <si>
    <t>LI-01569</t>
  </si>
  <si>
    <t>LI-01570</t>
  </si>
  <si>
    <t>LI-01571</t>
  </si>
  <si>
    <t>LI-01572</t>
  </si>
  <si>
    <t>LI-01573</t>
  </si>
  <si>
    <t>LI-01574</t>
  </si>
  <si>
    <t>LI-01575</t>
  </si>
  <si>
    <t>LI-01576</t>
  </si>
  <si>
    <t>LI-01577</t>
  </si>
  <si>
    <t>LI-01578</t>
  </si>
  <si>
    <t>LI-01579</t>
  </si>
  <si>
    <t>LI-01580</t>
  </si>
  <si>
    <t>LI-01581</t>
  </si>
  <si>
    <t>LI-01582</t>
  </si>
  <si>
    <t>LI-01583</t>
  </si>
  <si>
    <t>LI-01584</t>
  </si>
  <si>
    <t>LI-01585</t>
  </si>
  <si>
    <t>LI-01586</t>
  </si>
  <si>
    <t>LI-01587</t>
  </si>
  <si>
    <t>LI-01588</t>
  </si>
  <si>
    <t>LI-01589</t>
  </si>
  <si>
    <t>LI-01590</t>
  </si>
  <si>
    <t>LI-01591</t>
  </si>
  <si>
    <t>LI-01592</t>
  </si>
  <si>
    <t>LI-01593</t>
  </si>
  <si>
    <t>LI-01594</t>
  </si>
  <si>
    <t>LI-01595</t>
  </si>
  <si>
    <t>LI-01596</t>
  </si>
  <si>
    <t>LI-01597</t>
  </si>
  <si>
    <t>LI-01598</t>
  </si>
  <si>
    <t>LI-01599</t>
  </si>
  <si>
    <t>LI-01600</t>
  </si>
  <si>
    <t>LI-01601</t>
  </si>
  <si>
    <t>LI-01602</t>
  </si>
  <si>
    <t>LI-01603</t>
  </si>
  <si>
    <t>LI-01604</t>
  </si>
  <si>
    <t>LI-01605</t>
  </si>
  <si>
    <t>PO-2025-1023</t>
  </si>
  <si>
    <t>LI-01606</t>
  </si>
  <si>
    <t>LI-01607</t>
  </si>
  <si>
    <t>LI-01608</t>
  </si>
  <si>
    <t>LI-01609</t>
  </si>
  <si>
    <t>LI-01610</t>
  </si>
  <si>
    <t>LI-01611</t>
  </si>
  <si>
    <t>LI-01612</t>
  </si>
  <si>
    <t>LI-01613</t>
  </si>
  <si>
    <t>LI-01614</t>
  </si>
  <si>
    <t>LI-01615</t>
  </si>
  <si>
    <t>LI-01616</t>
  </si>
  <si>
    <t>LI-01617</t>
  </si>
  <si>
    <t>LI-01618</t>
  </si>
  <si>
    <t>LI-01619</t>
  </si>
  <si>
    <t>LI-01620</t>
  </si>
  <si>
    <t>LI-01621</t>
  </si>
  <si>
    <t>LI-01622</t>
  </si>
  <si>
    <t>LI-01623</t>
  </si>
  <si>
    <t>LI-01624</t>
  </si>
  <si>
    <t>LI-01625</t>
  </si>
  <si>
    <t>LI-01626</t>
  </si>
  <si>
    <t>LI-01627</t>
  </si>
  <si>
    <t>LI-01628</t>
  </si>
  <si>
    <t>LI-01629</t>
  </si>
  <si>
    <t>LI-01630</t>
  </si>
  <si>
    <t>LI-01631</t>
  </si>
  <si>
    <t>LI-01632</t>
  </si>
  <si>
    <t>LI-01633</t>
  </si>
  <si>
    <t>LI-01634</t>
  </si>
  <si>
    <t>LI-01635</t>
  </si>
  <si>
    <t>LI-01636</t>
  </si>
  <si>
    <t>LI-01637</t>
  </si>
  <si>
    <t>LI-01638</t>
  </si>
  <si>
    <t>LI-01639</t>
  </si>
  <si>
    <t>LI-01640</t>
  </si>
  <si>
    <t>LI-01641</t>
  </si>
  <si>
    <t>LI-01642</t>
  </si>
  <si>
    <t>LI-01643</t>
  </si>
  <si>
    <t>LI-01644</t>
  </si>
  <si>
    <t>LI-01645</t>
  </si>
  <si>
    <t>LI-01646</t>
  </si>
  <si>
    <t>LI-01647</t>
  </si>
  <si>
    <t>LI-01648</t>
  </si>
  <si>
    <t>LI-01649</t>
  </si>
  <si>
    <t>LI-01650</t>
  </si>
  <si>
    <t>LI-01651</t>
  </si>
  <si>
    <t>LI-01652</t>
  </si>
  <si>
    <t>LI-01653</t>
  </si>
  <si>
    <t>PO-2025-1024</t>
  </si>
  <si>
    <t>LI-01654</t>
  </si>
  <si>
    <t>LI-01655</t>
  </si>
  <si>
    <t>LI-01656</t>
  </si>
  <si>
    <t>LI-01657</t>
  </si>
  <si>
    <t>LI-01658</t>
  </si>
  <si>
    <t>LI-01659</t>
  </si>
  <si>
    <t>LI-01660</t>
  </si>
  <si>
    <t>LI-01661</t>
  </si>
  <si>
    <t>LI-01662</t>
  </si>
  <si>
    <t>LI-01663</t>
  </si>
  <si>
    <t>LI-01664</t>
  </si>
  <si>
    <t>LI-01665</t>
  </si>
  <si>
    <t>LI-01666</t>
  </si>
  <si>
    <t>LI-01667</t>
  </si>
  <si>
    <t>LI-01668</t>
  </si>
  <si>
    <t>LI-01669</t>
  </si>
  <si>
    <t>LI-01670</t>
  </si>
  <si>
    <t>LI-01671</t>
  </si>
  <si>
    <t>LI-01672</t>
  </si>
  <si>
    <t>LI-01673</t>
  </si>
  <si>
    <t>LI-01674</t>
  </si>
  <si>
    <t>LI-01675</t>
  </si>
  <si>
    <t>LI-01676</t>
  </si>
  <si>
    <t>LI-01677</t>
  </si>
  <si>
    <t>LI-01678</t>
  </si>
  <si>
    <t>LI-01679</t>
  </si>
  <si>
    <t>LI-01680</t>
  </si>
  <si>
    <t>LI-01681</t>
  </si>
  <si>
    <t>LI-01682</t>
  </si>
  <si>
    <t>LI-01683</t>
  </si>
  <si>
    <t>LI-01684</t>
  </si>
  <si>
    <t>LI-01685</t>
  </si>
  <si>
    <t>LI-01686</t>
  </si>
  <si>
    <t>LI-01687</t>
  </si>
  <si>
    <t>LI-01688</t>
  </si>
  <si>
    <t>LI-01689</t>
  </si>
  <si>
    <t>LI-01690</t>
  </si>
  <si>
    <t>LI-01691</t>
  </si>
  <si>
    <t>LI-01692</t>
  </si>
  <si>
    <t>LI-01693</t>
  </si>
  <si>
    <t>LI-01694</t>
  </si>
  <si>
    <t>LI-01695</t>
  </si>
  <si>
    <t>LI-01696</t>
  </si>
  <si>
    <t>LI-01697</t>
  </si>
  <si>
    <t>LI-01698</t>
  </si>
  <si>
    <t>LI-01699</t>
  </si>
  <si>
    <t>LI-01700</t>
  </si>
  <si>
    <t>LI-01701</t>
  </si>
  <si>
    <t>LI-01702</t>
  </si>
  <si>
    <t>LI-01703</t>
  </si>
  <si>
    <t>LI-01704</t>
  </si>
  <si>
    <t>LI-01705</t>
  </si>
  <si>
    <t>LI-01706</t>
  </si>
  <si>
    <t>LI-01707</t>
  </si>
  <si>
    <t>LI-01708</t>
  </si>
  <si>
    <t>LI-01709</t>
  </si>
  <si>
    <t>LI-01710</t>
  </si>
  <si>
    <t>LI-01711</t>
  </si>
  <si>
    <t>LI-01712</t>
  </si>
  <si>
    <t>LI-01713</t>
  </si>
  <si>
    <t>LI-01714</t>
  </si>
  <si>
    <t>LI-01715</t>
  </si>
  <si>
    <t>LI-01716</t>
  </si>
  <si>
    <t>LI-01717</t>
  </si>
  <si>
    <t>LI-01718</t>
  </si>
  <si>
    <t>LI-01719</t>
  </si>
  <si>
    <t>LI-01720</t>
  </si>
  <si>
    <t>LI-01721</t>
  </si>
  <si>
    <t>LI-01722</t>
  </si>
  <si>
    <t>LI-01723</t>
  </si>
  <si>
    <t>LI-01724</t>
  </si>
  <si>
    <t>LI-01725</t>
  </si>
  <si>
    <t>LI-01726</t>
  </si>
  <si>
    <t>LI-01727</t>
  </si>
  <si>
    <t>LI-01728</t>
  </si>
  <si>
    <t>LI-01729</t>
  </si>
  <si>
    <t>LI-01730</t>
  </si>
  <si>
    <t>LI-01731</t>
  </si>
  <si>
    <t>LI-01732</t>
  </si>
  <si>
    <t>LI-01733</t>
  </si>
  <si>
    <t>LI-01734</t>
  </si>
  <si>
    <t>LI-01735</t>
  </si>
  <si>
    <t>LI-01736</t>
  </si>
  <si>
    <t>LI-01737</t>
  </si>
  <si>
    <t>LI-01738</t>
  </si>
  <si>
    <t>LI-01739</t>
  </si>
  <si>
    <t>LI-01740</t>
  </si>
  <si>
    <t>LI-01741</t>
  </si>
  <si>
    <t>LI-01742</t>
  </si>
  <si>
    <t>LI-01743</t>
  </si>
  <si>
    <t>LI-01744</t>
  </si>
  <si>
    <t>LI-01745</t>
  </si>
  <si>
    <t>LI-01746</t>
  </si>
  <si>
    <t>LI-01747</t>
  </si>
  <si>
    <t>LI-01748</t>
  </si>
  <si>
    <t>LI-01749</t>
  </si>
  <si>
    <t>LI-01750</t>
  </si>
  <si>
    <t>LI-01751</t>
  </si>
  <si>
    <t>LI-01752</t>
  </si>
  <si>
    <t>LI-01753</t>
  </si>
  <si>
    <t>LI-01754</t>
  </si>
  <si>
    <t>LI-01755</t>
  </si>
  <si>
    <t>LI-01756</t>
  </si>
  <si>
    <t>LI-01757</t>
  </si>
  <si>
    <t>LI-01758</t>
  </si>
  <si>
    <t>LI-01759</t>
  </si>
  <si>
    <t>LI-01760</t>
  </si>
  <si>
    <t>LI-01761</t>
  </si>
  <si>
    <t>LI-01762</t>
  </si>
  <si>
    <t>LI-01763</t>
  </si>
  <si>
    <t>LI-01764</t>
  </si>
  <si>
    <t>LI-01765</t>
  </si>
  <si>
    <t>LI-01766</t>
  </si>
  <si>
    <t>LI-01767</t>
  </si>
  <si>
    <t>LI-01768</t>
  </si>
  <si>
    <t>LI-01769</t>
  </si>
  <si>
    <t>PO-2025-1025</t>
  </si>
  <si>
    <t>LI-01770</t>
  </si>
  <si>
    <t>LI-01771</t>
  </si>
  <si>
    <t>LI-01772</t>
  </si>
  <si>
    <t>LI-01773</t>
  </si>
  <si>
    <t>LI-01774</t>
  </si>
  <si>
    <t>LI-01775</t>
  </si>
  <si>
    <t>LI-01776</t>
  </si>
  <si>
    <t>LI-01777</t>
  </si>
  <si>
    <t>LI-01778</t>
  </si>
  <si>
    <t>LI-01779</t>
  </si>
  <si>
    <t>LI-01780</t>
  </si>
  <si>
    <t>LI-01781</t>
  </si>
  <si>
    <t>LI-01782</t>
  </si>
  <si>
    <t>LI-01783</t>
  </si>
  <si>
    <t>LI-01784</t>
  </si>
  <si>
    <t>LI-01785</t>
  </si>
  <si>
    <t>LI-01786</t>
  </si>
  <si>
    <t>LI-01787</t>
  </si>
  <si>
    <t>LI-01788</t>
  </si>
  <si>
    <t>LI-01789</t>
  </si>
  <si>
    <t>LI-01790</t>
  </si>
  <si>
    <t>LI-01791</t>
  </si>
  <si>
    <t>LI-01792</t>
  </si>
  <si>
    <t>LI-01793</t>
  </si>
  <si>
    <t>LI-01794</t>
  </si>
  <si>
    <t>LI-01795</t>
  </si>
  <si>
    <t>LI-01796</t>
  </si>
  <si>
    <t>LI-01797</t>
  </si>
  <si>
    <t>LI-01798</t>
  </si>
  <si>
    <t>LI-01799</t>
  </si>
  <si>
    <t>LI-01800</t>
  </si>
  <si>
    <t>LI-01801</t>
  </si>
  <si>
    <t>LI-01802</t>
  </si>
  <si>
    <t>LI-01803</t>
  </si>
  <si>
    <t>LI-01804</t>
  </si>
  <si>
    <t>LI-01805</t>
  </si>
  <si>
    <t>LI-01806</t>
  </si>
  <si>
    <t>LI-01807</t>
  </si>
  <si>
    <t>LI-01808</t>
  </si>
  <si>
    <t>LI-01809</t>
  </si>
  <si>
    <t>LI-01810</t>
  </si>
  <si>
    <t>LI-01811</t>
  </si>
  <si>
    <t>LI-01812</t>
  </si>
  <si>
    <t>LI-01813</t>
  </si>
  <si>
    <t>LI-01814</t>
  </si>
  <si>
    <t>LI-01815</t>
  </si>
  <si>
    <t>LI-01816</t>
  </si>
  <si>
    <t>LI-01817</t>
  </si>
  <si>
    <t>LI-01818</t>
  </si>
  <si>
    <t>LI-01819</t>
  </si>
  <si>
    <t>LI-01820</t>
  </si>
  <si>
    <t>LI-01821</t>
  </si>
  <si>
    <t>LI-01822</t>
  </si>
  <si>
    <t>LI-01823</t>
  </si>
  <si>
    <t>LI-01824</t>
  </si>
  <si>
    <t>LI-01825</t>
  </si>
  <si>
    <t>LI-01826</t>
  </si>
  <si>
    <t>LI-01827</t>
  </si>
  <si>
    <t>LI-01828</t>
  </si>
  <si>
    <t>LI-01829</t>
  </si>
  <si>
    <t>LI-01830</t>
  </si>
  <si>
    <t>LI-01831</t>
  </si>
  <si>
    <t>LI-01832</t>
  </si>
  <si>
    <t>LI-01833</t>
  </si>
  <si>
    <t>LI-01834</t>
  </si>
  <si>
    <t>LI-01835</t>
  </si>
  <si>
    <t>LI-01836</t>
  </si>
  <si>
    <t>LI-01837</t>
  </si>
  <si>
    <t>LI-01838</t>
  </si>
  <si>
    <t>LI-01839</t>
  </si>
  <si>
    <t>LI-01840</t>
  </si>
  <si>
    <t>LI-01841</t>
  </si>
  <si>
    <t>LI-01842</t>
  </si>
  <si>
    <t>LI-01843</t>
  </si>
  <si>
    <t>LI-01844</t>
  </si>
  <si>
    <t>LI-01845</t>
  </si>
  <si>
    <t>LI-01846</t>
  </si>
  <si>
    <t>LI-01847</t>
  </si>
  <si>
    <t>LI-01848</t>
  </si>
  <si>
    <t>LI-01849</t>
  </si>
  <si>
    <t>LI-01850</t>
  </si>
  <si>
    <t>LI-01851</t>
  </si>
  <si>
    <t>LI-01852</t>
  </si>
  <si>
    <t>LI-01853</t>
  </si>
  <si>
    <t>LI-01854</t>
  </si>
  <si>
    <t>LI-01855</t>
  </si>
  <si>
    <t>LI-01856</t>
  </si>
  <si>
    <t>LI-01857</t>
  </si>
  <si>
    <t>LI-01858</t>
  </si>
  <si>
    <t>LI-01859</t>
  </si>
  <si>
    <t>LI-01860</t>
  </si>
  <si>
    <t>LI-01861</t>
  </si>
  <si>
    <t>LI-01862</t>
  </si>
  <si>
    <t>LI-01863</t>
  </si>
  <si>
    <t>LI-01864</t>
  </si>
  <si>
    <t>LI-01865</t>
  </si>
  <si>
    <t>LI-01866</t>
  </si>
  <si>
    <t>LI-01867</t>
  </si>
  <si>
    <t>LI-01868</t>
  </si>
  <si>
    <t>LI-01869</t>
  </si>
  <si>
    <t>LI-01870</t>
  </si>
  <si>
    <t>LI-01871</t>
  </si>
  <si>
    <t>LI-01872</t>
  </si>
  <si>
    <t>LI-01873</t>
  </si>
  <si>
    <t>LI-01874</t>
  </si>
  <si>
    <t>LI-01875</t>
  </si>
  <si>
    <t>LI-01876</t>
  </si>
  <si>
    <t>LI-01877</t>
  </si>
  <si>
    <t>LI-01878</t>
  </si>
  <si>
    <t>LI-01879</t>
  </si>
  <si>
    <t>LI-01880</t>
  </si>
  <si>
    <t>LI-01881</t>
  </si>
  <si>
    <t>LI-01882</t>
  </si>
  <si>
    <t>LI-01883</t>
  </si>
  <si>
    <t>LI-01884</t>
  </si>
  <si>
    <t>LI-01885</t>
  </si>
  <si>
    <t>LI-01886</t>
  </si>
  <si>
    <t>LI-01887</t>
  </si>
  <si>
    <t>LI-01888</t>
  </si>
  <si>
    <t>LI-01889</t>
  </si>
  <si>
    <t>LI-01890</t>
  </si>
  <si>
    <t>PO-2025-1026</t>
  </si>
  <si>
    <t>LI-01891</t>
  </si>
  <si>
    <t>LI-01892</t>
  </si>
  <si>
    <t>LI-01893</t>
  </si>
  <si>
    <t>LI-01894</t>
  </si>
  <si>
    <t>LI-01895</t>
  </si>
  <si>
    <t>LI-01896</t>
  </si>
  <si>
    <t>LI-01897</t>
  </si>
  <si>
    <t>LI-01898</t>
  </si>
  <si>
    <t>LI-01899</t>
  </si>
  <si>
    <t>LI-01900</t>
  </si>
  <si>
    <t>LI-01901</t>
  </si>
  <si>
    <t>LI-01902</t>
  </si>
  <si>
    <t>LI-01903</t>
  </si>
  <si>
    <t>LI-01904</t>
  </si>
  <si>
    <t>LI-01905</t>
  </si>
  <si>
    <t>LI-01906</t>
  </si>
  <si>
    <t>LI-01907</t>
  </si>
  <si>
    <t>LI-01908</t>
  </si>
  <si>
    <t>LI-01909</t>
  </si>
  <si>
    <t>LI-01910</t>
  </si>
  <si>
    <t>LI-01911</t>
  </si>
  <si>
    <t>LI-01912</t>
  </si>
  <si>
    <t>LI-01913</t>
  </si>
  <si>
    <t>LI-01914</t>
  </si>
  <si>
    <t>LI-01915</t>
  </si>
  <si>
    <t>LI-01916</t>
  </si>
  <si>
    <t>LI-01917</t>
  </si>
  <si>
    <t>LI-01918</t>
  </si>
  <si>
    <t>LI-01919</t>
  </si>
  <si>
    <t>LI-01920</t>
  </si>
  <si>
    <t>LI-01921</t>
  </si>
  <si>
    <t>LI-01922</t>
  </si>
  <si>
    <t>LI-01923</t>
  </si>
  <si>
    <t>LI-01924</t>
  </si>
  <si>
    <t>LI-01925</t>
  </si>
  <si>
    <t>LI-01926</t>
  </si>
  <si>
    <t>LI-01927</t>
  </si>
  <si>
    <t>LI-01928</t>
  </si>
  <si>
    <t>LI-01929</t>
  </si>
  <si>
    <t>LI-01930</t>
  </si>
  <si>
    <t>LI-01931</t>
  </si>
  <si>
    <t>LI-01932</t>
  </si>
  <si>
    <t>LI-01933</t>
  </si>
  <si>
    <t>LI-01934</t>
  </si>
  <si>
    <t>LI-01935</t>
  </si>
  <si>
    <t>LI-01936</t>
  </si>
  <si>
    <t>LI-01937</t>
  </si>
  <si>
    <t>LI-01938</t>
  </si>
  <si>
    <t>LI-01939</t>
  </si>
  <si>
    <t>LI-01940</t>
  </si>
  <si>
    <t>LI-01941</t>
  </si>
  <si>
    <t>LI-01942</t>
  </si>
  <si>
    <t>LI-01943</t>
  </si>
  <si>
    <t>LI-01944</t>
  </si>
  <si>
    <t>LI-01945</t>
  </si>
  <si>
    <t>LI-01946</t>
  </si>
  <si>
    <t>LI-01947</t>
  </si>
  <si>
    <t>LI-01948</t>
  </si>
  <si>
    <t>LI-01949</t>
  </si>
  <si>
    <t>LI-01950</t>
  </si>
  <si>
    <t>LI-01951</t>
  </si>
  <si>
    <t>LI-01952</t>
  </si>
  <si>
    <t>LI-01953</t>
  </si>
  <si>
    <t>LI-01954</t>
  </si>
  <si>
    <t>LI-01955</t>
  </si>
  <si>
    <t>LI-01956</t>
  </si>
  <si>
    <t>LI-01957</t>
  </si>
  <si>
    <t>LI-01958</t>
  </si>
  <si>
    <t>PO-2025-1027</t>
  </si>
  <si>
    <t>LI-01959</t>
  </si>
  <si>
    <t>LI-01960</t>
  </si>
  <si>
    <t>LI-01961</t>
  </si>
  <si>
    <t>LI-01962</t>
  </si>
  <si>
    <t>LI-01963</t>
  </si>
  <si>
    <t>LI-01964</t>
  </si>
  <si>
    <t>LI-01965</t>
  </si>
  <si>
    <t>LI-01966</t>
  </si>
  <si>
    <t>LI-01967</t>
  </si>
  <si>
    <t>LI-01968</t>
  </si>
  <si>
    <t>LI-01969</t>
  </si>
  <si>
    <t>LI-01970</t>
  </si>
  <si>
    <t>LI-01971</t>
  </si>
  <si>
    <t>LI-01972</t>
  </si>
  <si>
    <t>LI-01973</t>
  </si>
  <si>
    <t>LI-01974</t>
  </si>
  <si>
    <t>LI-01975</t>
  </si>
  <si>
    <t>LI-01976</t>
  </si>
  <si>
    <t>LI-01977</t>
  </si>
  <si>
    <t>LI-01978</t>
  </si>
  <si>
    <t>LI-01979</t>
  </si>
  <si>
    <t>LI-01980</t>
  </si>
  <si>
    <t>LI-01981</t>
  </si>
  <si>
    <t>LI-01982</t>
  </si>
  <si>
    <t>LI-01983</t>
  </si>
  <si>
    <t>LI-01984</t>
  </si>
  <si>
    <t>LI-01985</t>
  </si>
  <si>
    <t>LI-01986</t>
  </si>
  <si>
    <t>LI-01987</t>
  </si>
  <si>
    <t>LI-01988</t>
  </si>
  <si>
    <t>LI-01989</t>
  </si>
  <si>
    <t>LI-01990</t>
  </si>
  <si>
    <t>LI-01991</t>
  </si>
  <si>
    <t>LI-01992</t>
  </si>
  <si>
    <t>LI-01993</t>
  </si>
  <si>
    <t>LI-01994</t>
  </si>
  <si>
    <t>LI-01995</t>
  </si>
  <si>
    <t>LI-01996</t>
  </si>
  <si>
    <t>LI-01997</t>
  </si>
  <si>
    <t>LI-01998</t>
  </si>
  <si>
    <t>LI-01999</t>
  </si>
  <si>
    <t>LI-02000</t>
  </si>
  <si>
    <t>LI-02001</t>
  </si>
  <si>
    <t>LI-02002</t>
  </si>
  <si>
    <t>LI-02003</t>
  </si>
  <si>
    <t>LI-02004</t>
  </si>
  <si>
    <t>LI-02005</t>
  </si>
  <si>
    <t>LI-02006</t>
  </si>
  <si>
    <t>LI-02007</t>
  </si>
  <si>
    <t>LI-02008</t>
  </si>
  <si>
    <t>LI-02009</t>
  </si>
  <si>
    <t>LI-02010</t>
  </si>
  <si>
    <t>LI-02011</t>
  </si>
  <si>
    <t>LI-02012</t>
  </si>
  <si>
    <t>LI-02013</t>
  </si>
  <si>
    <t>LI-02014</t>
  </si>
  <si>
    <t>LI-02015</t>
  </si>
  <si>
    <t>LI-02016</t>
  </si>
  <si>
    <t>LI-02017</t>
  </si>
  <si>
    <t>LI-02018</t>
  </si>
  <si>
    <t>LI-02019</t>
  </si>
  <si>
    <t>LI-02020</t>
  </si>
  <si>
    <t>LI-02021</t>
  </si>
  <si>
    <t>LI-02022</t>
  </si>
  <si>
    <t>LI-02023</t>
  </si>
  <si>
    <t>LI-02024</t>
  </si>
  <si>
    <t>LI-02025</t>
  </si>
  <si>
    <t>LI-02026</t>
  </si>
  <si>
    <t>LI-02027</t>
  </si>
  <si>
    <t>LI-02028</t>
  </si>
  <si>
    <t>LI-02029</t>
  </si>
  <si>
    <t>LI-02030</t>
  </si>
  <si>
    <t>LI-02031</t>
  </si>
  <si>
    <t>LI-02032</t>
  </si>
  <si>
    <t>LI-02033</t>
  </si>
  <si>
    <t>LI-02034</t>
  </si>
  <si>
    <t>LI-02035</t>
  </si>
  <si>
    <t>LI-02036</t>
  </si>
  <si>
    <t>LI-02037</t>
  </si>
  <si>
    <t>LI-02038</t>
  </si>
  <si>
    <t>LI-02039</t>
  </si>
  <si>
    <t>LI-02040</t>
  </si>
  <si>
    <t>LI-02041</t>
  </si>
  <si>
    <t>LI-02042</t>
  </si>
  <si>
    <t>LI-02043</t>
  </si>
  <si>
    <t>LI-02044</t>
  </si>
  <si>
    <t>LI-02045</t>
  </si>
  <si>
    <t>LI-02046</t>
  </si>
  <si>
    <t>LI-02047</t>
  </si>
  <si>
    <t>LI-02048</t>
  </si>
  <si>
    <t>LI-02049</t>
  </si>
  <si>
    <t>LI-02050</t>
  </si>
  <si>
    <t>LI-02051</t>
  </si>
  <si>
    <t>LI-02052</t>
  </si>
  <si>
    <t>LI-02053</t>
  </si>
  <si>
    <t>LI-02054</t>
  </si>
  <si>
    <t>LI-02055</t>
  </si>
  <si>
    <t>LI-02056</t>
  </si>
  <si>
    <t>LI-02057</t>
  </si>
  <si>
    <t>LI-02058</t>
  </si>
  <si>
    <t>LI-02059</t>
  </si>
  <si>
    <t>LI-02060</t>
  </si>
  <si>
    <t>LI-02061</t>
  </si>
  <si>
    <t>LI-02062</t>
  </si>
  <si>
    <t>LI-02063</t>
  </si>
  <si>
    <t>LI-02064</t>
  </si>
  <si>
    <t>LI-02065</t>
  </si>
  <si>
    <t>LI-02066</t>
  </si>
  <si>
    <t>LI-02067</t>
  </si>
  <si>
    <t>LI-02068</t>
  </si>
  <si>
    <t>LI-02069</t>
  </si>
  <si>
    <t>LI-02070</t>
  </si>
  <si>
    <t>LI-02071</t>
  </si>
  <si>
    <t>LI-02072</t>
  </si>
  <si>
    <t>LI-02073</t>
  </si>
  <si>
    <t>LI-02074</t>
  </si>
  <si>
    <t>LI-02075</t>
  </si>
  <si>
    <t>LI-02076</t>
  </si>
  <si>
    <t>LI-02077</t>
  </si>
  <si>
    <t>LI-02078</t>
  </si>
  <si>
    <t>LI-02079</t>
  </si>
  <si>
    <t>LI-02080</t>
  </si>
  <si>
    <t>LI-02081</t>
  </si>
  <si>
    <t>LI-02082</t>
  </si>
  <si>
    <t>LI-02083</t>
  </si>
  <si>
    <t>LI-02084</t>
  </si>
  <si>
    <t>LI-02085</t>
  </si>
  <si>
    <t>LI-02086</t>
  </si>
  <si>
    <t>LI-02087</t>
  </si>
  <si>
    <t>LI-02088</t>
  </si>
  <si>
    <t>PO-2025-1028</t>
  </si>
  <si>
    <t>LI-02089</t>
  </si>
  <si>
    <t>LI-02090</t>
  </si>
  <si>
    <t>LI-02091</t>
  </si>
  <si>
    <t>LI-02092</t>
  </si>
  <si>
    <t>LI-02093</t>
  </si>
  <si>
    <t>LI-02094</t>
  </si>
  <si>
    <t>LI-02095</t>
  </si>
  <si>
    <t>LI-02096</t>
  </si>
  <si>
    <t>LI-02097</t>
  </si>
  <si>
    <t>LI-02098</t>
  </si>
  <si>
    <t>LI-02099</t>
  </si>
  <si>
    <t>LI-02100</t>
  </si>
  <si>
    <t>LI-02101</t>
  </si>
  <si>
    <t>LI-02102</t>
  </si>
  <si>
    <t>LI-02103</t>
  </si>
  <si>
    <t>LI-02104</t>
  </si>
  <si>
    <t>LI-02105</t>
  </si>
  <si>
    <t>LI-02106</t>
  </si>
  <si>
    <t>LI-02107</t>
  </si>
  <si>
    <t>LI-02108</t>
  </si>
  <si>
    <t>LI-02109</t>
  </si>
  <si>
    <t>LI-02110</t>
  </si>
  <si>
    <t>LI-02111</t>
  </si>
  <si>
    <t>LI-02112</t>
  </si>
  <si>
    <t>LI-02113</t>
  </si>
  <si>
    <t>LI-02114</t>
  </si>
  <si>
    <t>LI-02115</t>
  </si>
  <si>
    <t>LI-02116</t>
  </si>
  <si>
    <t>LI-02117</t>
  </si>
  <si>
    <t>LI-02118</t>
  </si>
  <si>
    <t>LI-02119</t>
  </si>
  <si>
    <t>LI-02120</t>
  </si>
  <si>
    <t>LI-02121</t>
  </si>
  <si>
    <t>LI-02122</t>
  </si>
  <si>
    <t>LI-02123</t>
  </si>
  <si>
    <t>LI-02124</t>
  </si>
  <si>
    <t>LI-02125</t>
  </si>
  <si>
    <t>LI-02126</t>
  </si>
  <si>
    <t>LI-02127</t>
  </si>
  <si>
    <t>LI-02128</t>
  </si>
  <si>
    <t>LI-02129</t>
  </si>
  <si>
    <t>LI-02130</t>
  </si>
  <si>
    <t>LI-02131</t>
  </si>
  <si>
    <t>LI-02132</t>
  </si>
  <si>
    <t>LI-02133</t>
  </si>
  <si>
    <t>LI-02134</t>
  </si>
  <si>
    <t>LI-02135</t>
  </si>
  <si>
    <t>LI-02136</t>
  </si>
  <si>
    <t>LI-02137</t>
  </si>
  <si>
    <t>LI-02138</t>
  </si>
  <si>
    <t>LI-02139</t>
  </si>
  <si>
    <t>LI-02140</t>
  </si>
  <si>
    <t>LI-02141</t>
  </si>
  <si>
    <t>LI-02142</t>
  </si>
  <si>
    <t>LI-02143</t>
  </si>
  <si>
    <t>LI-02144</t>
  </si>
  <si>
    <t>LI-02145</t>
  </si>
  <si>
    <t>LI-02146</t>
  </si>
  <si>
    <t>LI-02147</t>
  </si>
  <si>
    <t>LI-02148</t>
  </si>
  <si>
    <t>LI-02149</t>
  </si>
  <si>
    <t>LI-02150</t>
  </si>
  <si>
    <t>LI-02151</t>
  </si>
  <si>
    <t>LI-02152</t>
  </si>
  <si>
    <t>LI-02153</t>
  </si>
  <si>
    <t>LI-02154</t>
  </si>
  <si>
    <t>LI-02155</t>
  </si>
  <si>
    <t>LI-02156</t>
  </si>
  <si>
    <t>LI-02157</t>
  </si>
  <si>
    <t>LI-02158</t>
  </si>
  <si>
    <t>LI-02159</t>
  </si>
  <si>
    <t>LI-02160</t>
  </si>
  <si>
    <t>LI-02161</t>
  </si>
  <si>
    <t>LI-02162</t>
  </si>
  <si>
    <t>LI-02163</t>
  </si>
  <si>
    <t>LI-02164</t>
  </si>
  <si>
    <t>LI-02165</t>
  </si>
  <si>
    <t>LI-02166</t>
  </si>
  <si>
    <t>LI-02167</t>
  </si>
  <si>
    <t>LI-02168</t>
  </si>
  <si>
    <t>LI-02169</t>
  </si>
  <si>
    <t>LI-02170</t>
  </si>
  <si>
    <t>LI-02171</t>
  </si>
  <si>
    <t>LI-02172</t>
  </si>
  <si>
    <t>LI-02173</t>
  </si>
  <si>
    <t>LI-02174</t>
  </si>
  <si>
    <t>LI-02175</t>
  </si>
  <si>
    <t>LI-02176</t>
  </si>
  <si>
    <t>LI-02177</t>
  </si>
  <si>
    <t>LI-02178</t>
  </si>
  <si>
    <t>LI-02179</t>
  </si>
  <si>
    <t>LI-02180</t>
  </si>
  <si>
    <t>LI-02181</t>
  </si>
  <si>
    <t>LI-02182</t>
  </si>
  <si>
    <t>LI-02183</t>
  </si>
  <si>
    <t>LI-02184</t>
  </si>
  <si>
    <t>LI-02185</t>
  </si>
  <si>
    <t>LI-02186</t>
  </si>
  <si>
    <t>LI-02187</t>
  </si>
  <si>
    <t>LI-02188</t>
  </si>
  <si>
    <t>LI-02189</t>
  </si>
  <si>
    <t>LI-02190</t>
  </si>
  <si>
    <t>LI-02191</t>
  </si>
  <si>
    <t>LI-02192</t>
  </si>
  <si>
    <t>LI-02193</t>
  </si>
  <si>
    <t>LI-02194</t>
  </si>
  <si>
    <t>LI-02195</t>
  </si>
  <si>
    <t>LI-02196</t>
  </si>
  <si>
    <t>LI-02197</t>
  </si>
  <si>
    <t>LI-02198</t>
  </si>
  <si>
    <t>LI-02199</t>
  </si>
  <si>
    <t>LI-02200</t>
  </si>
  <si>
    <t>LI-02201</t>
  </si>
  <si>
    <t>LI-02202</t>
  </si>
  <si>
    <t>LI-02203</t>
  </si>
  <si>
    <t>LI-02204</t>
  </si>
  <si>
    <t>PO-2025-1029</t>
  </si>
  <si>
    <t>LI-02205</t>
  </si>
  <si>
    <t>LI-02206</t>
  </si>
  <si>
    <t>LI-02207</t>
  </si>
  <si>
    <t>LI-02208</t>
  </si>
  <si>
    <t>LI-02209</t>
  </si>
  <si>
    <t>LI-02210</t>
  </si>
  <si>
    <t>LI-02211</t>
  </si>
  <si>
    <t>LI-02212</t>
  </si>
  <si>
    <t>LI-02213</t>
  </si>
  <si>
    <t>LI-02214</t>
  </si>
  <si>
    <t>LI-02215</t>
  </si>
  <si>
    <t>LI-02216</t>
  </si>
  <si>
    <t>LI-02217</t>
  </si>
  <si>
    <t>LI-02218</t>
  </si>
  <si>
    <t>LI-02219</t>
  </si>
  <si>
    <t>LI-02220</t>
  </si>
  <si>
    <t>LI-02221</t>
  </si>
  <si>
    <t>LI-02222</t>
  </si>
  <si>
    <t>LI-02223</t>
  </si>
  <si>
    <t>LI-02224</t>
  </si>
  <si>
    <t>LI-02225</t>
  </si>
  <si>
    <t>LI-02226</t>
  </si>
  <si>
    <t>LI-02227</t>
  </si>
  <si>
    <t>LI-02228</t>
  </si>
  <si>
    <t>LI-02229</t>
  </si>
  <si>
    <t>LI-02230</t>
  </si>
  <si>
    <t>LI-02231</t>
  </si>
  <si>
    <t>LI-02232</t>
  </si>
  <si>
    <t>LI-02233</t>
  </si>
  <si>
    <t>LI-02234</t>
  </si>
  <si>
    <t>LI-02235</t>
  </si>
  <si>
    <t>LI-02236</t>
  </si>
  <si>
    <t>LI-02237</t>
  </si>
  <si>
    <t>LI-02238</t>
  </si>
  <si>
    <t>LI-02239</t>
  </si>
  <si>
    <t>LI-02240</t>
  </si>
  <si>
    <t>LI-02241</t>
  </si>
  <si>
    <t>LI-02242</t>
  </si>
  <si>
    <t>LI-02243</t>
  </si>
  <si>
    <t>LI-02244</t>
  </si>
  <si>
    <t>LI-02245</t>
  </si>
  <si>
    <t>LI-02246</t>
  </si>
  <si>
    <t>LI-02247</t>
  </si>
  <si>
    <t>LI-02248</t>
  </si>
  <si>
    <t>LI-02249</t>
  </si>
  <si>
    <t>LI-02250</t>
  </si>
  <si>
    <t>LI-02251</t>
  </si>
  <si>
    <t>LI-02252</t>
  </si>
  <si>
    <t>LI-02253</t>
  </si>
  <si>
    <t>LI-02254</t>
  </si>
  <si>
    <t>LI-02255</t>
  </si>
  <si>
    <t>LI-02256</t>
  </si>
  <si>
    <t>LI-02257</t>
  </si>
  <si>
    <t>LI-02258</t>
  </si>
  <si>
    <t>LI-02259</t>
  </si>
  <si>
    <t>LI-02260</t>
  </si>
  <si>
    <t>LI-02261</t>
  </si>
  <si>
    <t>PO-2025-1030</t>
  </si>
  <si>
    <t>LI-02262</t>
  </si>
  <si>
    <t>LI-02263</t>
  </si>
  <si>
    <t>LI-02264</t>
  </si>
  <si>
    <t>LI-02265</t>
  </si>
  <si>
    <t>LI-02266</t>
  </si>
  <si>
    <t>LI-02267</t>
  </si>
  <si>
    <t>LI-02268</t>
  </si>
  <si>
    <t>LI-02269</t>
  </si>
  <si>
    <t>LI-02270</t>
  </si>
  <si>
    <t>LI-02271</t>
  </si>
  <si>
    <t>LI-02272</t>
  </si>
  <si>
    <t>LI-02273</t>
  </si>
  <si>
    <t>LI-02274</t>
  </si>
  <si>
    <t>LI-02275</t>
  </si>
  <si>
    <t>LI-02276</t>
  </si>
  <si>
    <t>LI-02277</t>
  </si>
  <si>
    <t>LI-02278</t>
  </si>
  <si>
    <t>LI-02279</t>
  </si>
  <si>
    <t>LI-02280</t>
  </si>
  <si>
    <t>LI-02281</t>
  </si>
  <si>
    <t>LI-02282</t>
  </si>
  <si>
    <t>LI-02283</t>
  </si>
  <si>
    <t>LI-02284</t>
  </si>
  <si>
    <t>LI-02285</t>
  </si>
  <si>
    <t>LI-02286</t>
  </si>
  <si>
    <t>LI-02287</t>
  </si>
  <si>
    <t>LI-02288</t>
  </si>
  <si>
    <t>LI-02289</t>
  </si>
  <si>
    <t>LI-02290</t>
  </si>
  <si>
    <t>LI-02291</t>
  </si>
  <si>
    <t>LI-02292</t>
  </si>
  <si>
    <t>LI-02293</t>
  </si>
  <si>
    <t>LI-02294</t>
  </si>
  <si>
    <t>LI-02295</t>
  </si>
  <si>
    <t>LI-02296</t>
  </si>
  <si>
    <t>LI-02297</t>
  </si>
  <si>
    <t>LI-02298</t>
  </si>
  <si>
    <t>LI-02299</t>
  </si>
  <si>
    <t>LI-02300</t>
  </si>
  <si>
    <t>LI-02301</t>
  </si>
  <si>
    <t>LI-02302</t>
  </si>
  <si>
    <t>LI-02303</t>
  </si>
  <si>
    <t>LI-02304</t>
  </si>
  <si>
    <t>LI-02305</t>
  </si>
  <si>
    <t>LI-02306</t>
  </si>
  <si>
    <t>LI-02307</t>
  </si>
  <si>
    <t>LI-02308</t>
  </si>
  <si>
    <t>LI-02309</t>
  </si>
  <si>
    <t>LI-02310</t>
  </si>
  <si>
    <t>LI-02311</t>
  </si>
  <si>
    <t>LI-02312</t>
  </si>
  <si>
    <t>LI-02313</t>
  </si>
  <si>
    <t>LI-02314</t>
  </si>
  <si>
    <t>LI-02315</t>
  </si>
  <si>
    <t>LI-02316</t>
  </si>
  <si>
    <t>LI-02317</t>
  </si>
  <si>
    <t>LI-02318</t>
  </si>
  <si>
    <t>LI-02319</t>
  </si>
  <si>
    <t>LI-02320</t>
  </si>
  <si>
    <t>LI-02321</t>
  </si>
  <si>
    <t>LI-02322</t>
  </si>
  <si>
    <t>LI-02323</t>
  </si>
  <si>
    <t>LI-02324</t>
  </si>
  <si>
    <t>LI-02325</t>
  </si>
  <si>
    <t>LI-02326</t>
  </si>
  <si>
    <t>LI-02327</t>
  </si>
  <si>
    <t>LI-02328</t>
  </si>
  <si>
    <t>LI-02329</t>
  </si>
  <si>
    <t>LI-02330</t>
  </si>
  <si>
    <t>LI-02331</t>
  </si>
  <si>
    <t>LI-02332</t>
  </si>
  <si>
    <t>LI-02333</t>
  </si>
  <si>
    <t>LI-02334</t>
  </si>
  <si>
    <t>LI-02335</t>
  </si>
  <si>
    <t>LI-02336</t>
  </si>
  <si>
    <t>LI-02337</t>
  </si>
  <si>
    <t>LI-02338</t>
  </si>
  <si>
    <t>LI-02339</t>
  </si>
  <si>
    <t>LI-02340</t>
  </si>
  <si>
    <t>LI-02341</t>
  </si>
  <si>
    <t>LI-02342</t>
  </si>
  <si>
    <t>LI-02343</t>
  </si>
  <si>
    <t>LI-02344</t>
  </si>
  <si>
    <t>LI-02345</t>
  </si>
  <si>
    <t>LI-02346</t>
  </si>
  <si>
    <t>LI-02347</t>
  </si>
  <si>
    <t>LI-02348</t>
  </si>
  <si>
    <t>LI-02349</t>
  </si>
  <si>
    <t>LI-02350</t>
  </si>
  <si>
    <t>LI-02351</t>
  </si>
  <si>
    <t>LI-02352</t>
  </si>
  <si>
    <t>LI-02353</t>
  </si>
  <si>
    <t>LI-02354</t>
  </si>
  <si>
    <t>LI-02355</t>
  </si>
  <si>
    <t>LI-02356</t>
  </si>
  <si>
    <t>LI-02357</t>
  </si>
  <si>
    <t>LI-02358</t>
  </si>
  <si>
    <t>LI-02359</t>
  </si>
  <si>
    <t>LI-02360</t>
  </si>
  <si>
    <t>LI-02361</t>
  </si>
  <si>
    <t>LI-02362</t>
  </si>
  <si>
    <t>LI-02363</t>
  </si>
  <si>
    <t>LI-02364</t>
  </si>
  <si>
    <t>LI-02365</t>
  </si>
  <si>
    <t>LI-02366</t>
  </si>
  <si>
    <t>LI-02367</t>
  </si>
  <si>
    <t>LI-02368</t>
  </si>
  <si>
    <t>LI-02369</t>
  </si>
  <si>
    <t>LI-02370</t>
  </si>
  <si>
    <t>LI-02371</t>
  </si>
  <si>
    <t>LI-02372</t>
  </si>
  <si>
    <t>LI-02373</t>
  </si>
  <si>
    <t>PO-2025-1031</t>
  </si>
  <si>
    <t>LI-02374</t>
  </si>
  <si>
    <t>LI-02375</t>
  </si>
  <si>
    <t>LI-02376</t>
  </si>
  <si>
    <t>LI-02377</t>
  </si>
  <si>
    <t>LI-02378</t>
  </si>
  <si>
    <t>LI-02379</t>
  </si>
  <si>
    <t>LI-02380</t>
  </si>
  <si>
    <t>LI-02381</t>
  </si>
  <si>
    <t>LI-02382</t>
  </si>
  <si>
    <t>LI-02383</t>
  </si>
  <si>
    <t>LI-02384</t>
  </si>
  <si>
    <t>LI-02385</t>
  </si>
  <si>
    <t>LI-02386</t>
  </si>
  <si>
    <t>LI-02387</t>
  </si>
  <si>
    <t>LI-02388</t>
  </si>
  <si>
    <t>LI-02389</t>
  </si>
  <si>
    <t>LI-02390</t>
  </si>
  <si>
    <t>LI-02391</t>
  </si>
  <si>
    <t>LI-02392</t>
  </si>
  <si>
    <t>LI-02393</t>
  </si>
  <si>
    <t>LI-02394</t>
  </si>
  <si>
    <t>LI-02395</t>
  </si>
  <si>
    <t>LI-02396</t>
  </si>
  <si>
    <t>LI-02397</t>
  </si>
  <si>
    <t>LI-02398</t>
  </si>
  <si>
    <t>LI-02399</t>
  </si>
  <si>
    <t>LI-02400</t>
  </si>
  <si>
    <t>LI-02401</t>
  </si>
  <si>
    <t>LI-02402</t>
  </si>
  <si>
    <t>LI-02403</t>
  </si>
  <si>
    <t>LI-02404</t>
  </si>
  <si>
    <t>LI-02405</t>
  </si>
  <si>
    <t>LI-02406</t>
  </si>
  <si>
    <t>LI-02407</t>
  </si>
  <si>
    <t>LI-02408</t>
  </si>
  <si>
    <t>LI-02409</t>
  </si>
  <si>
    <t>LI-02410</t>
  </si>
  <si>
    <t>LI-02411</t>
  </si>
  <si>
    <t>LI-02412</t>
  </si>
  <si>
    <t>LI-02413</t>
  </si>
  <si>
    <t>LI-02414</t>
  </si>
  <si>
    <t>LI-02415</t>
  </si>
  <si>
    <t>LI-02416</t>
  </si>
  <si>
    <t>LI-02417</t>
  </si>
  <si>
    <t>LI-02418</t>
  </si>
  <si>
    <t>LI-02419</t>
  </si>
  <si>
    <t>LI-02420</t>
  </si>
  <si>
    <t>LI-02421</t>
  </si>
  <si>
    <t>LI-02422</t>
  </si>
  <si>
    <t>LI-02423</t>
  </si>
  <si>
    <t>LI-02424</t>
  </si>
  <si>
    <t>LI-02425</t>
  </si>
  <si>
    <t>LI-02426</t>
  </si>
  <si>
    <t>LI-02427</t>
  </si>
  <si>
    <t>LI-02428</t>
  </si>
  <si>
    <t>LI-02429</t>
  </si>
  <si>
    <t>LI-02430</t>
  </si>
  <si>
    <t>LI-02431</t>
  </si>
  <si>
    <t>LI-02432</t>
  </si>
  <si>
    <t>LI-02433</t>
  </si>
  <si>
    <t>LI-02434</t>
  </si>
  <si>
    <t>LI-02435</t>
  </si>
  <si>
    <t>LI-02436</t>
  </si>
  <si>
    <t>LI-02437</t>
  </si>
  <si>
    <t>LI-02438</t>
  </si>
  <si>
    <t>LI-02439</t>
  </si>
  <si>
    <t>LI-02440</t>
  </si>
  <si>
    <t>LI-02441</t>
  </si>
  <si>
    <t>LI-02442</t>
  </si>
  <si>
    <t>LI-02443</t>
  </si>
  <si>
    <t>LI-02444</t>
  </si>
  <si>
    <t>LI-02445</t>
  </si>
  <si>
    <t>LI-02446</t>
  </si>
  <si>
    <t>LI-02447</t>
  </si>
  <si>
    <t>LI-02448</t>
  </si>
  <si>
    <t>LI-02449</t>
  </si>
  <si>
    <t>LI-02450</t>
  </si>
  <si>
    <t>LI-02451</t>
  </si>
  <si>
    <t>LI-02452</t>
  </si>
  <si>
    <t>LI-02453</t>
  </si>
  <si>
    <t>LI-02454</t>
  </si>
  <si>
    <t>LI-02455</t>
  </si>
  <si>
    <t>LI-02456</t>
  </si>
  <si>
    <t>LI-02457</t>
  </si>
  <si>
    <t>LI-02458</t>
  </si>
  <si>
    <t>LI-02459</t>
  </si>
  <si>
    <t>LI-02460</t>
  </si>
  <si>
    <t>LI-02461</t>
  </si>
  <si>
    <t>LI-02462</t>
  </si>
  <si>
    <t>LI-02463</t>
  </si>
  <si>
    <t>LI-02464</t>
  </si>
  <si>
    <t>LI-02465</t>
  </si>
  <si>
    <t>LI-02466</t>
  </si>
  <si>
    <t>LI-02467</t>
  </si>
  <si>
    <t>LI-02468</t>
  </si>
  <si>
    <t>LI-02469</t>
  </si>
  <si>
    <t>LI-02470</t>
  </si>
  <si>
    <t>LI-02471</t>
  </si>
  <si>
    <t>LI-02472</t>
  </si>
  <si>
    <t>LI-02473</t>
  </si>
  <si>
    <t>LI-02474</t>
  </si>
  <si>
    <t>LI-02475</t>
  </si>
  <si>
    <t>LI-02476</t>
  </si>
  <si>
    <t>LI-02477</t>
  </si>
  <si>
    <t>LI-02478</t>
  </si>
  <si>
    <t>LI-02479</t>
  </si>
  <si>
    <t>LI-02480</t>
  </si>
  <si>
    <t>LI-02481</t>
  </si>
  <si>
    <t>LI-02482</t>
  </si>
  <si>
    <t>LI-02483</t>
  </si>
  <si>
    <t>LI-02484</t>
  </si>
  <si>
    <t>LI-02485</t>
  </si>
  <si>
    <t>LI-02486</t>
  </si>
  <si>
    <t>LI-02487</t>
  </si>
  <si>
    <t>LI-02488</t>
  </si>
  <si>
    <t>LI-02489</t>
  </si>
  <si>
    <t>LI-02490</t>
  </si>
  <si>
    <t>LI-02491</t>
  </si>
  <si>
    <t>LI-02492</t>
  </si>
  <si>
    <t>LI-02493</t>
  </si>
  <si>
    <t>LI-02494</t>
  </si>
  <si>
    <t>LI-02495</t>
  </si>
  <si>
    <t>LI-02496</t>
  </si>
  <si>
    <t>LI-02497</t>
  </si>
  <si>
    <t>LI-02498</t>
  </si>
  <si>
    <t>LI-02499</t>
  </si>
  <si>
    <t>LI-02500</t>
  </si>
  <si>
    <t>LI-02501</t>
  </si>
  <si>
    <t>LI-02502</t>
  </si>
  <si>
    <t>LI-02503</t>
  </si>
  <si>
    <t>LI-02504</t>
  </si>
  <si>
    <t>LI-02505</t>
  </si>
  <si>
    <t>LI-02506</t>
  </si>
  <si>
    <t>LI-02507</t>
  </si>
  <si>
    <t>LI-02508</t>
  </si>
  <si>
    <t>LI-02509</t>
  </si>
  <si>
    <t>PO-2025-1032</t>
  </si>
  <si>
    <t>LI-02510</t>
  </si>
  <si>
    <t>LI-02511</t>
  </si>
  <si>
    <t>LI-02512</t>
  </si>
  <si>
    <t>LI-02513</t>
  </si>
  <si>
    <t>LI-02514</t>
  </si>
  <si>
    <t>LI-02515</t>
  </si>
  <si>
    <t>LI-02516</t>
  </si>
  <si>
    <t>LI-02517</t>
  </si>
  <si>
    <t>LI-02518</t>
  </si>
  <si>
    <t>LI-02519</t>
  </si>
  <si>
    <t>LI-02520</t>
  </si>
  <si>
    <t>LI-02521</t>
  </si>
  <si>
    <t>LI-02522</t>
  </si>
  <si>
    <t>LI-02523</t>
  </si>
  <si>
    <t>LI-02524</t>
  </si>
  <si>
    <t>LI-02525</t>
  </si>
  <si>
    <t>LI-02526</t>
  </si>
  <si>
    <t>LI-02527</t>
  </si>
  <si>
    <t>LI-02528</t>
  </si>
  <si>
    <t>LI-02529</t>
  </si>
  <si>
    <t>LI-02530</t>
  </si>
  <si>
    <t>LI-02531</t>
  </si>
  <si>
    <t>LI-02532</t>
  </si>
  <si>
    <t>LI-02533</t>
  </si>
  <si>
    <t>LI-02534</t>
  </si>
  <si>
    <t>LI-02535</t>
  </si>
  <si>
    <t>LI-02536</t>
  </si>
  <si>
    <t>LI-02537</t>
  </si>
  <si>
    <t>LI-02538</t>
  </si>
  <si>
    <t>LI-02539</t>
  </si>
  <si>
    <t>LI-02540</t>
  </si>
  <si>
    <t>LI-02541</t>
  </si>
  <si>
    <t>LI-02542</t>
  </si>
  <si>
    <t>LI-02543</t>
  </si>
  <si>
    <t>LI-02544</t>
  </si>
  <si>
    <t>LI-02545</t>
  </si>
  <si>
    <t>LI-02546</t>
  </si>
  <si>
    <t>LI-02547</t>
  </si>
  <si>
    <t>LI-02548</t>
  </si>
  <si>
    <t>LI-02549</t>
  </si>
  <si>
    <t>LI-02550</t>
  </si>
  <si>
    <t>LI-02551</t>
  </si>
  <si>
    <t>LI-02552</t>
  </si>
  <si>
    <t>LI-02553</t>
  </si>
  <si>
    <t>LI-02554</t>
  </si>
  <si>
    <t>LI-02555</t>
  </si>
  <si>
    <t>LI-02556</t>
  </si>
  <si>
    <t>LI-02557</t>
  </si>
  <si>
    <t>LI-02558</t>
  </si>
  <si>
    <t>LI-02559</t>
  </si>
  <si>
    <t>LI-02560</t>
  </si>
  <si>
    <t>LI-02561</t>
  </si>
  <si>
    <t>LI-02562</t>
  </si>
  <si>
    <t>LI-02563</t>
  </si>
  <si>
    <t>LI-02564</t>
  </si>
  <si>
    <t>LI-02565</t>
  </si>
  <si>
    <t>LI-02566</t>
  </si>
  <si>
    <t>LI-02567</t>
  </si>
  <si>
    <t>LI-02568</t>
  </si>
  <si>
    <t>LI-02569</t>
  </si>
  <si>
    <t>LI-02570</t>
  </si>
  <si>
    <t>LI-02571</t>
  </si>
  <si>
    <t>LI-02572</t>
  </si>
  <si>
    <t>LI-02573</t>
  </si>
  <si>
    <t>LI-02574</t>
  </si>
  <si>
    <t>LI-02575</t>
  </si>
  <si>
    <t>LI-02576</t>
  </si>
  <si>
    <t>LI-02577</t>
  </si>
  <si>
    <t>LI-02578</t>
  </si>
  <si>
    <t>LI-02579</t>
  </si>
  <si>
    <t>LI-02580</t>
  </si>
  <si>
    <t>LI-02581</t>
  </si>
  <si>
    <t>LI-02582</t>
  </si>
  <si>
    <t>LI-02583</t>
  </si>
  <si>
    <t>LI-02584</t>
  </si>
  <si>
    <t>LI-02585</t>
  </si>
  <si>
    <t>LI-02586</t>
  </si>
  <si>
    <t>LI-02587</t>
  </si>
  <si>
    <t>LI-02588</t>
  </si>
  <si>
    <t>LI-02589</t>
  </si>
  <si>
    <t>LI-02590</t>
  </si>
  <si>
    <t>LI-02591</t>
  </si>
  <si>
    <t>LI-02592</t>
  </si>
  <si>
    <t>LI-02593</t>
  </si>
  <si>
    <t>LI-02594</t>
  </si>
  <si>
    <t>LI-02595</t>
  </si>
  <si>
    <t>LI-02596</t>
  </si>
  <si>
    <t>LI-02597</t>
  </si>
  <si>
    <t>LI-02598</t>
  </si>
  <si>
    <t>LI-02599</t>
  </si>
  <si>
    <t>LI-02600</t>
  </si>
  <si>
    <t>LI-02601</t>
  </si>
  <si>
    <t>LI-02602</t>
  </si>
  <si>
    <t>LI-02603</t>
  </si>
  <si>
    <t>LI-02604</t>
  </si>
  <si>
    <t>LI-02605</t>
  </si>
  <si>
    <t>LI-02606</t>
  </si>
  <si>
    <t>PO-2025-1033</t>
  </si>
  <si>
    <t>LI-02607</t>
  </si>
  <si>
    <t>LI-02608</t>
  </si>
  <si>
    <t>LI-02609</t>
  </si>
  <si>
    <t>LI-02610</t>
  </si>
  <si>
    <t>LI-02611</t>
  </si>
  <si>
    <t>LI-02612</t>
  </si>
  <si>
    <t>LI-02613</t>
  </si>
  <si>
    <t>LI-02614</t>
  </si>
  <si>
    <t>LI-02615</t>
  </si>
  <si>
    <t>LI-02616</t>
  </si>
  <si>
    <t>LI-02617</t>
  </si>
  <si>
    <t>LI-02618</t>
  </si>
  <si>
    <t>LI-02619</t>
  </si>
  <si>
    <t>LI-02620</t>
  </si>
  <si>
    <t>LI-02621</t>
  </si>
  <si>
    <t>LI-02622</t>
  </si>
  <si>
    <t>LI-02623</t>
  </si>
  <si>
    <t>LI-02624</t>
  </si>
  <si>
    <t>LI-02625</t>
  </si>
  <si>
    <t>LI-02626</t>
  </si>
  <si>
    <t>LI-02627</t>
  </si>
  <si>
    <t>LI-02628</t>
  </si>
  <si>
    <t>LI-02629</t>
  </si>
  <si>
    <t>LI-02630</t>
  </si>
  <si>
    <t>LI-02631</t>
  </si>
  <si>
    <t>LI-02632</t>
  </si>
  <si>
    <t>LI-02633</t>
  </si>
  <si>
    <t>LI-02634</t>
  </si>
  <si>
    <t>LI-02635</t>
  </si>
  <si>
    <t>LI-02636</t>
  </si>
  <si>
    <t>LI-02637</t>
  </si>
  <si>
    <t>LI-02638</t>
  </si>
  <si>
    <t>LI-02639</t>
  </si>
  <si>
    <t>LI-02640</t>
  </si>
  <si>
    <t>LI-02641</t>
  </si>
  <si>
    <t>LI-02642</t>
  </si>
  <si>
    <t>LI-02643</t>
  </si>
  <si>
    <t>LI-02644</t>
  </si>
  <si>
    <t>LI-02645</t>
  </si>
  <si>
    <t>LI-02646</t>
  </si>
  <si>
    <t>LI-02647</t>
  </si>
  <si>
    <t>LI-02648</t>
  </si>
  <si>
    <t>LI-02649</t>
  </si>
  <si>
    <t>LI-02650</t>
  </si>
  <si>
    <t>LI-02651</t>
  </si>
  <si>
    <t>LI-02652</t>
  </si>
  <si>
    <t>LI-02653</t>
  </si>
  <si>
    <t>LI-02654</t>
  </si>
  <si>
    <t>LI-02655</t>
  </si>
  <si>
    <t>LI-02656</t>
  </si>
  <si>
    <t>LI-02657</t>
  </si>
  <si>
    <t>LI-02658</t>
  </si>
  <si>
    <t>LI-02659</t>
  </si>
  <si>
    <t>LI-02660</t>
  </si>
  <si>
    <t>LI-02661</t>
  </si>
  <si>
    <t>LI-02662</t>
  </si>
  <si>
    <t>LI-02663</t>
  </si>
  <si>
    <t>LI-02664</t>
  </si>
  <si>
    <t>LI-02665</t>
  </si>
  <si>
    <t>LI-02666</t>
  </si>
  <si>
    <t>LI-02667</t>
  </si>
  <si>
    <t>LI-02668</t>
  </si>
  <si>
    <t>LI-02669</t>
  </si>
  <si>
    <t>LI-02670</t>
  </si>
  <si>
    <t>LI-02671</t>
  </si>
  <si>
    <t>LI-02672</t>
  </si>
  <si>
    <t>LI-02673</t>
  </si>
  <si>
    <t>LI-02674</t>
  </si>
  <si>
    <t>LI-02675</t>
  </si>
  <si>
    <t>LI-02676</t>
  </si>
  <si>
    <t>LI-02677</t>
  </si>
  <si>
    <t>LI-02678</t>
  </si>
  <si>
    <t>LI-02679</t>
  </si>
  <si>
    <t>LI-02680</t>
  </si>
  <si>
    <t>LI-02681</t>
  </si>
  <si>
    <t>LI-02682</t>
  </si>
  <si>
    <t>LI-02683</t>
  </si>
  <si>
    <t>LI-02684</t>
  </si>
  <si>
    <t>LI-02685</t>
  </si>
  <si>
    <t>LI-02686</t>
  </si>
  <si>
    <t>LI-02687</t>
  </si>
  <si>
    <t>LI-02688</t>
  </si>
  <si>
    <t>LI-02689</t>
  </si>
  <si>
    <t>LI-02690</t>
  </si>
  <si>
    <t>LI-02691</t>
  </si>
  <si>
    <t>LI-02692</t>
  </si>
  <si>
    <t>LI-02693</t>
  </si>
  <si>
    <t>LI-02694</t>
  </si>
  <si>
    <t>LI-02695</t>
  </si>
  <si>
    <t>PO-2025-1034</t>
  </si>
  <si>
    <t>LI-02696</t>
  </si>
  <si>
    <t>LI-02697</t>
  </si>
  <si>
    <t>LI-02698</t>
  </si>
  <si>
    <t>LI-02699</t>
  </si>
  <si>
    <t>LI-02700</t>
  </si>
  <si>
    <t>LI-02701</t>
  </si>
  <si>
    <t>LI-02702</t>
  </si>
  <si>
    <t>LI-02703</t>
  </si>
  <si>
    <t>LI-02704</t>
  </si>
  <si>
    <t>LI-02705</t>
  </si>
  <si>
    <t>LI-02706</t>
  </si>
  <si>
    <t>LI-02707</t>
  </si>
  <si>
    <t>LI-02708</t>
  </si>
  <si>
    <t>LI-02709</t>
  </si>
  <si>
    <t>LI-02710</t>
  </si>
  <si>
    <t>LI-02711</t>
  </si>
  <si>
    <t>LI-02712</t>
  </si>
  <si>
    <t>LI-02713</t>
  </si>
  <si>
    <t>LI-02714</t>
  </si>
  <si>
    <t>LI-02715</t>
  </si>
  <si>
    <t>LI-02716</t>
  </si>
  <si>
    <t>LI-02717</t>
  </si>
  <si>
    <t>LI-02718</t>
  </si>
  <si>
    <t>LI-02719</t>
  </si>
  <si>
    <t>LI-02720</t>
  </si>
  <si>
    <t>LI-02721</t>
  </si>
  <si>
    <t>LI-02722</t>
  </si>
  <si>
    <t>LI-02723</t>
  </si>
  <si>
    <t>LI-02724</t>
  </si>
  <si>
    <t>LI-02725</t>
  </si>
  <si>
    <t>LI-02726</t>
  </si>
  <si>
    <t>LI-02727</t>
  </si>
  <si>
    <t>LI-02728</t>
  </si>
  <si>
    <t>LI-02729</t>
  </si>
  <si>
    <t>LI-02730</t>
  </si>
  <si>
    <t>LI-02731</t>
  </si>
  <si>
    <t>LI-02732</t>
  </si>
  <si>
    <t>LI-02733</t>
  </si>
  <si>
    <t>LI-02734</t>
  </si>
  <si>
    <t>LI-02735</t>
  </si>
  <si>
    <t>LI-02736</t>
  </si>
  <si>
    <t>LI-02737</t>
  </si>
  <si>
    <t>LI-02738</t>
  </si>
  <si>
    <t>LI-02739</t>
  </si>
  <si>
    <t>LI-02740</t>
  </si>
  <si>
    <t>LI-02741</t>
  </si>
  <si>
    <t>LI-02742</t>
  </si>
  <si>
    <t>LI-02743</t>
  </si>
  <si>
    <t>LI-02744</t>
  </si>
  <si>
    <t>LI-02745</t>
  </si>
  <si>
    <t>LI-02746</t>
  </si>
  <si>
    <t>LI-02747</t>
  </si>
  <si>
    <t>LI-02748</t>
  </si>
  <si>
    <t>LI-02749</t>
  </si>
  <si>
    <t>LI-02750</t>
  </si>
  <si>
    <t>LI-02751</t>
  </si>
  <si>
    <t>LI-02752</t>
  </si>
  <si>
    <t>LI-02753</t>
  </si>
  <si>
    <t>LI-02754</t>
  </si>
  <si>
    <t>LI-02755</t>
  </si>
  <si>
    <t>LI-02756</t>
  </si>
  <si>
    <t>PO-2025-1035</t>
  </si>
  <si>
    <t>LI-02757</t>
  </si>
  <si>
    <t>LI-02758</t>
  </si>
  <si>
    <t>LI-02759</t>
  </si>
  <si>
    <t>LI-02760</t>
  </si>
  <si>
    <t>LI-02761</t>
  </si>
  <si>
    <t>LI-02762</t>
  </si>
  <si>
    <t>LI-02763</t>
  </si>
  <si>
    <t>LI-02764</t>
  </si>
  <si>
    <t>LI-02765</t>
  </si>
  <si>
    <t>LI-02766</t>
  </si>
  <si>
    <t>LI-02767</t>
  </si>
  <si>
    <t>LI-02768</t>
  </si>
  <si>
    <t>LI-02769</t>
  </si>
  <si>
    <t>LI-02770</t>
  </si>
  <si>
    <t>LI-02771</t>
  </si>
  <si>
    <t>LI-02772</t>
  </si>
  <si>
    <t>LI-02773</t>
  </si>
  <si>
    <t>LI-02774</t>
  </si>
  <si>
    <t>LI-02775</t>
  </si>
  <si>
    <t>LI-02776</t>
  </si>
  <si>
    <t>LI-02777</t>
  </si>
  <si>
    <t>LI-02778</t>
  </si>
  <si>
    <t>LI-02779</t>
  </si>
  <si>
    <t>LI-02780</t>
  </si>
  <si>
    <t>LI-02781</t>
  </si>
  <si>
    <t>LI-02782</t>
  </si>
  <si>
    <t>LI-02783</t>
  </si>
  <si>
    <t>LI-02784</t>
  </si>
  <si>
    <t>LI-02785</t>
  </si>
  <si>
    <t>LI-02786</t>
  </si>
  <si>
    <t>LI-02787</t>
  </si>
  <si>
    <t>LI-02788</t>
  </si>
  <si>
    <t>LI-02789</t>
  </si>
  <si>
    <t>LI-02790</t>
  </si>
  <si>
    <t>LI-02791</t>
  </si>
  <si>
    <t>LI-02792</t>
  </si>
  <si>
    <t>LI-02793</t>
  </si>
  <si>
    <t>LI-02794</t>
  </si>
  <si>
    <t>LI-02795</t>
  </si>
  <si>
    <t>LI-02796</t>
  </si>
  <si>
    <t>LI-02797</t>
  </si>
  <si>
    <t>LI-02798</t>
  </si>
  <si>
    <t>LI-02799</t>
  </si>
  <si>
    <t>LI-02800</t>
  </si>
  <si>
    <t>LI-02801</t>
  </si>
  <si>
    <t>LI-02802</t>
  </si>
  <si>
    <t>LI-02803</t>
  </si>
  <si>
    <t>LI-02804</t>
  </si>
  <si>
    <t>LI-02805</t>
  </si>
  <si>
    <t>LI-02806</t>
  </si>
  <si>
    <t>LI-02807</t>
  </si>
  <si>
    <t>LI-02808</t>
  </si>
  <si>
    <t>LI-02809</t>
  </si>
  <si>
    <t>LI-02810</t>
  </si>
  <si>
    <t>LI-02811</t>
  </si>
  <si>
    <t>LI-02812</t>
  </si>
  <si>
    <t>LI-02813</t>
  </si>
  <si>
    <t>LI-02814</t>
  </si>
  <si>
    <t>LI-02815</t>
  </si>
  <si>
    <t>LI-02816</t>
  </si>
  <si>
    <t>LI-02817</t>
  </si>
  <si>
    <t>LI-02818</t>
  </si>
  <si>
    <t>LI-02819</t>
  </si>
  <si>
    <t>LI-02820</t>
  </si>
  <si>
    <t>LI-02821</t>
  </si>
  <si>
    <t>LI-02822</t>
  </si>
  <si>
    <t>LI-02823</t>
  </si>
  <si>
    <t>LI-02824</t>
  </si>
  <si>
    <t>LI-02825</t>
  </si>
  <si>
    <t>LI-02826</t>
  </si>
  <si>
    <t>LI-02827</t>
  </si>
  <si>
    <t>LI-02828</t>
  </si>
  <si>
    <t>LI-02829</t>
  </si>
  <si>
    <t>LI-02830</t>
  </si>
  <si>
    <t>LI-02831</t>
  </si>
  <si>
    <t>LI-02832</t>
  </si>
  <si>
    <t>LI-02833</t>
  </si>
  <si>
    <t>LI-02834</t>
  </si>
  <si>
    <t>LI-02835</t>
  </si>
  <si>
    <t>LI-02836</t>
  </si>
  <si>
    <t>LI-02837</t>
  </si>
  <si>
    <t>LI-02838</t>
  </si>
  <si>
    <t>LI-02839</t>
  </si>
  <si>
    <t>LI-02840</t>
  </si>
  <si>
    <t>LI-02841</t>
  </si>
  <si>
    <t>LI-02842</t>
  </si>
  <si>
    <t>LI-02843</t>
  </si>
  <si>
    <t>LI-02844</t>
  </si>
  <si>
    <t>LI-02845</t>
  </si>
  <si>
    <t>LI-02846</t>
  </si>
  <si>
    <t>LI-02847</t>
  </si>
  <si>
    <t>LI-02848</t>
  </si>
  <si>
    <t>LI-02849</t>
  </si>
  <si>
    <t>LI-02850</t>
  </si>
  <si>
    <t>LI-02851</t>
  </si>
  <si>
    <t>LI-02852</t>
  </si>
  <si>
    <t>LI-02853</t>
  </si>
  <si>
    <t>LI-02854</t>
  </si>
  <si>
    <t>LI-02855</t>
  </si>
  <si>
    <t>LI-02856</t>
  </si>
  <si>
    <t>LI-02857</t>
  </si>
  <si>
    <t>LI-02858</t>
  </si>
  <si>
    <t>LI-02859</t>
  </si>
  <si>
    <t>LI-02860</t>
  </si>
  <si>
    <t>LI-02861</t>
  </si>
  <si>
    <t>LI-02862</t>
  </si>
  <si>
    <t>LI-02863</t>
  </si>
  <si>
    <t>LI-02864</t>
  </si>
  <si>
    <t>LI-02865</t>
  </si>
  <si>
    <t>LI-02866</t>
  </si>
  <si>
    <t>LI-02867</t>
  </si>
  <si>
    <t>LI-02868</t>
  </si>
  <si>
    <t>LI-02869</t>
  </si>
  <si>
    <t>LI-02870</t>
  </si>
  <si>
    <t>LI-02871</t>
  </si>
  <si>
    <t>LI-02872</t>
  </si>
  <si>
    <t>LI-02873</t>
  </si>
  <si>
    <t>LI-02874</t>
  </si>
  <si>
    <t>LI-02875</t>
  </si>
  <si>
    <t>LI-02876</t>
  </si>
  <si>
    <t>LI-02877</t>
  </si>
  <si>
    <t>LI-02878</t>
  </si>
  <si>
    <t>LI-02879</t>
  </si>
  <si>
    <t>LI-02880</t>
  </si>
  <si>
    <t>LI-02881</t>
  </si>
  <si>
    <t>LI-02882</t>
  </si>
  <si>
    <t>LI-02883</t>
  </si>
  <si>
    <t>LI-02884</t>
  </si>
  <si>
    <t>LI-02885</t>
  </si>
  <si>
    <t>LI-02886</t>
  </si>
  <si>
    <t>LI-02887</t>
  </si>
  <si>
    <t>LI-02888</t>
  </si>
  <si>
    <t>PO-2025-1036</t>
  </si>
  <si>
    <t>LI-02889</t>
  </si>
  <si>
    <t>LI-02890</t>
  </si>
  <si>
    <t>LI-02891</t>
  </si>
  <si>
    <t>LI-02892</t>
  </si>
  <si>
    <t>LI-02893</t>
  </si>
  <si>
    <t>LI-02894</t>
  </si>
  <si>
    <t>LI-02895</t>
  </si>
  <si>
    <t>LI-02896</t>
  </si>
  <si>
    <t>LI-02897</t>
  </si>
  <si>
    <t>LI-02898</t>
  </si>
  <si>
    <t>LI-02899</t>
  </si>
  <si>
    <t>LI-02900</t>
  </si>
  <si>
    <t>LI-02901</t>
  </si>
  <si>
    <t>LI-02902</t>
  </si>
  <si>
    <t>LI-02903</t>
  </si>
  <si>
    <t>LI-02904</t>
  </si>
  <si>
    <t>LI-02905</t>
  </si>
  <si>
    <t>LI-02906</t>
  </si>
  <si>
    <t>LI-02907</t>
  </si>
  <si>
    <t>LI-02908</t>
  </si>
  <si>
    <t>LI-02909</t>
  </si>
  <si>
    <t>LI-02910</t>
  </si>
  <si>
    <t>LI-02911</t>
  </si>
  <si>
    <t>LI-02912</t>
  </si>
  <si>
    <t>LI-02913</t>
  </si>
  <si>
    <t>LI-02914</t>
  </si>
  <si>
    <t>LI-02915</t>
  </si>
  <si>
    <t>LI-02916</t>
  </si>
  <si>
    <t>LI-02917</t>
  </si>
  <si>
    <t>LI-02918</t>
  </si>
  <si>
    <t>LI-02919</t>
  </si>
  <si>
    <t>LI-02920</t>
  </si>
  <si>
    <t>LI-02921</t>
  </si>
  <si>
    <t>LI-02922</t>
  </si>
  <si>
    <t>LI-02923</t>
  </si>
  <si>
    <t>LI-02924</t>
  </si>
  <si>
    <t>LI-02925</t>
  </si>
  <si>
    <t>LI-02926</t>
  </si>
  <si>
    <t>LI-02927</t>
  </si>
  <si>
    <t>LI-02928</t>
  </si>
  <si>
    <t>LI-02929</t>
  </si>
  <si>
    <t>LI-02930</t>
  </si>
  <si>
    <t>LI-02931</t>
  </si>
  <si>
    <t>LI-02932</t>
  </si>
  <si>
    <t>LI-02933</t>
  </si>
  <si>
    <t>LI-02934</t>
  </si>
  <si>
    <t>LI-02935</t>
  </si>
  <si>
    <t>LI-02936</t>
  </si>
  <si>
    <t>LI-02937</t>
  </si>
  <si>
    <t>LI-02938</t>
  </si>
  <si>
    <t>PO-2025-1037</t>
  </si>
  <si>
    <t>LI-02939</t>
  </si>
  <si>
    <t>LI-02940</t>
  </si>
  <si>
    <t>LI-02941</t>
  </si>
  <si>
    <t>LI-02942</t>
  </si>
  <si>
    <t>LI-02943</t>
  </si>
  <si>
    <t>LI-02944</t>
  </si>
  <si>
    <t>LI-02945</t>
  </si>
  <si>
    <t>LI-02946</t>
  </si>
  <si>
    <t>LI-02947</t>
  </si>
  <si>
    <t>LI-02948</t>
  </si>
  <si>
    <t>LI-02949</t>
  </si>
  <si>
    <t>LI-02950</t>
  </si>
  <si>
    <t>LI-02951</t>
  </si>
  <si>
    <t>LI-02952</t>
  </si>
  <si>
    <t>LI-02953</t>
  </si>
  <si>
    <t>LI-02954</t>
  </si>
  <si>
    <t>LI-02955</t>
  </si>
  <si>
    <t>LI-02956</t>
  </si>
  <si>
    <t>LI-02957</t>
  </si>
  <si>
    <t>LI-02958</t>
  </si>
  <si>
    <t>LI-02959</t>
  </si>
  <si>
    <t>LI-02960</t>
  </si>
  <si>
    <t>LI-02961</t>
  </si>
  <si>
    <t>LI-02962</t>
  </si>
  <si>
    <t>LI-02963</t>
  </si>
  <si>
    <t>LI-02964</t>
  </si>
  <si>
    <t>LI-02965</t>
  </si>
  <si>
    <t>LI-02966</t>
  </si>
  <si>
    <t>LI-02967</t>
  </si>
  <si>
    <t>LI-02968</t>
  </si>
  <si>
    <t>LI-02969</t>
  </si>
  <si>
    <t>LI-02970</t>
  </si>
  <si>
    <t>LI-02971</t>
  </si>
  <si>
    <t>LI-02972</t>
  </si>
  <si>
    <t>LI-02973</t>
  </si>
  <si>
    <t>LI-02974</t>
  </si>
  <si>
    <t>LI-02975</t>
  </si>
  <si>
    <t>LI-02976</t>
  </si>
  <si>
    <t>LI-02977</t>
  </si>
  <si>
    <t>LI-02978</t>
  </si>
  <si>
    <t>LI-02979</t>
  </si>
  <si>
    <t>LI-02980</t>
  </si>
  <si>
    <t>LI-02981</t>
  </si>
  <si>
    <t>LI-02982</t>
  </si>
  <si>
    <t>LI-02983</t>
  </si>
  <si>
    <t>LI-02984</t>
  </si>
  <si>
    <t>LI-02985</t>
  </si>
  <si>
    <t>LI-02986</t>
  </si>
  <si>
    <t>LI-02987</t>
  </si>
  <si>
    <t>LI-02988</t>
  </si>
  <si>
    <t>LI-02989</t>
  </si>
  <si>
    <t>LI-02990</t>
  </si>
  <si>
    <t>LI-02991</t>
  </si>
  <si>
    <t>LI-02992</t>
  </si>
  <si>
    <t>LI-02993</t>
  </si>
  <si>
    <t>LI-02994</t>
  </si>
  <si>
    <t>LI-02995</t>
  </si>
  <si>
    <t>LI-02996</t>
  </si>
  <si>
    <t>LI-02997</t>
  </si>
  <si>
    <t>LI-02998</t>
  </si>
  <si>
    <t>LI-02999</t>
  </si>
  <si>
    <t>LI-03000</t>
  </si>
  <si>
    <t>LI-03001</t>
  </si>
  <si>
    <t>LI-03002</t>
  </si>
  <si>
    <t>LI-03003</t>
  </si>
  <si>
    <t>LI-03004</t>
  </si>
  <si>
    <t>LI-03005</t>
  </si>
  <si>
    <t>LI-03006</t>
  </si>
  <si>
    <t>LI-03007</t>
  </si>
  <si>
    <t>LI-03008</t>
  </si>
  <si>
    <t>LI-03009</t>
  </si>
  <si>
    <t>LI-03010</t>
  </si>
  <si>
    <t>LI-03011</t>
  </si>
  <si>
    <t>LI-03012</t>
  </si>
  <si>
    <t>LI-03013</t>
  </si>
  <si>
    <t>LI-03014</t>
  </si>
  <si>
    <t>LI-03015</t>
  </si>
  <si>
    <t>LI-03016</t>
  </si>
  <si>
    <t>LI-03017</t>
  </si>
  <si>
    <t>LI-03018</t>
  </si>
  <si>
    <t>LI-03019</t>
  </si>
  <si>
    <t>LI-03020</t>
  </si>
  <si>
    <t>LI-03021</t>
  </si>
  <si>
    <t>LI-03022</t>
  </si>
  <si>
    <t>LI-03023</t>
  </si>
  <si>
    <t>LI-03024</t>
  </si>
  <si>
    <t>LI-03025</t>
  </si>
  <si>
    <t>LI-03026</t>
  </si>
  <si>
    <t>LI-03027</t>
  </si>
  <si>
    <t>LI-03028</t>
  </si>
  <si>
    <t>LI-03029</t>
  </si>
  <si>
    <t>LI-03030</t>
  </si>
  <si>
    <t>LI-03031</t>
  </si>
  <si>
    <t>LI-03032</t>
  </si>
  <si>
    <t>LI-03033</t>
  </si>
  <si>
    <t>LI-03034</t>
  </si>
  <si>
    <t>LI-03035</t>
  </si>
  <si>
    <t>LI-03036</t>
  </si>
  <si>
    <t>LI-03037</t>
  </si>
  <si>
    <t>LI-03038</t>
  </si>
  <si>
    <t>LI-03039</t>
  </si>
  <si>
    <t>LI-03040</t>
  </si>
  <si>
    <t>LI-03041</t>
  </si>
  <si>
    <t>LI-03042</t>
  </si>
  <si>
    <t>LI-03043</t>
  </si>
  <si>
    <t>LI-03044</t>
  </si>
  <si>
    <t>LI-03045</t>
  </si>
  <si>
    <t>LI-03046</t>
  </si>
  <si>
    <t>LI-03047</t>
  </si>
  <si>
    <t>LI-03048</t>
  </si>
  <si>
    <t>LI-03049</t>
  </si>
  <si>
    <t>LI-03050</t>
  </si>
  <si>
    <t>LI-03051</t>
  </si>
  <si>
    <t>PO-2025-1038</t>
  </si>
  <si>
    <t>LI-03052</t>
  </si>
  <si>
    <t>LI-03053</t>
  </si>
  <si>
    <t>LI-03054</t>
  </si>
  <si>
    <t>LI-03055</t>
  </si>
  <si>
    <t>LI-03056</t>
  </si>
  <si>
    <t>LI-03057</t>
  </si>
  <si>
    <t>LI-03058</t>
  </si>
  <si>
    <t>LI-03059</t>
  </si>
  <si>
    <t>LI-03060</t>
  </si>
  <si>
    <t>LI-03061</t>
  </si>
  <si>
    <t>LI-03062</t>
  </si>
  <si>
    <t>LI-03063</t>
  </si>
  <si>
    <t>LI-03064</t>
  </si>
  <si>
    <t>LI-03065</t>
  </si>
  <si>
    <t>LI-03066</t>
  </si>
  <si>
    <t>LI-03067</t>
  </si>
  <si>
    <t>LI-03068</t>
  </si>
  <si>
    <t>LI-03069</t>
  </si>
  <si>
    <t>LI-03070</t>
  </si>
  <si>
    <t>LI-03071</t>
  </si>
  <si>
    <t>LI-03072</t>
  </si>
  <si>
    <t>LI-03073</t>
  </si>
  <si>
    <t>LI-03074</t>
  </si>
  <si>
    <t>LI-03075</t>
  </si>
  <si>
    <t>LI-03076</t>
  </si>
  <si>
    <t>LI-03077</t>
  </si>
  <si>
    <t>LI-03078</t>
  </si>
  <si>
    <t>LI-03079</t>
  </si>
  <si>
    <t>LI-03080</t>
  </si>
  <si>
    <t>LI-03081</t>
  </si>
  <si>
    <t>LI-03082</t>
  </si>
  <si>
    <t>LI-03083</t>
  </si>
  <si>
    <t>LI-03084</t>
  </si>
  <si>
    <t>LI-03085</t>
  </si>
  <si>
    <t>LI-03086</t>
  </si>
  <si>
    <t>LI-03087</t>
  </si>
  <si>
    <t>LI-03088</t>
  </si>
  <si>
    <t>LI-03089</t>
  </si>
  <si>
    <t>LI-03090</t>
  </si>
  <si>
    <t>LI-03091</t>
  </si>
  <si>
    <t>LI-03092</t>
  </si>
  <si>
    <t>LI-03093</t>
  </si>
  <si>
    <t>LI-03094</t>
  </si>
  <si>
    <t>LI-03095</t>
  </si>
  <si>
    <t>LI-03096</t>
  </si>
  <si>
    <t>LI-03097</t>
  </si>
  <si>
    <t>LI-03098</t>
  </si>
  <si>
    <t>LI-03099</t>
  </si>
  <si>
    <t>LI-03100</t>
  </si>
  <si>
    <t>LI-03101</t>
  </si>
  <si>
    <t>LI-03102</t>
  </si>
  <si>
    <t>LI-03103</t>
  </si>
  <si>
    <t>LI-03104</t>
  </si>
  <si>
    <t>LI-03105</t>
  </si>
  <si>
    <t>LI-03106</t>
  </si>
  <si>
    <t>LI-03107</t>
  </si>
  <si>
    <t>LI-03108</t>
  </si>
  <si>
    <t>LI-03109</t>
  </si>
  <si>
    <t>LI-03110</t>
  </si>
  <si>
    <t>LI-03111</t>
  </si>
  <si>
    <t>LI-03112</t>
  </si>
  <si>
    <t>LI-03113</t>
  </si>
  <si>
    <t>LI-03114</t>
  </si>
  <si>
    <t>LI-03115</t>
  </si>
  <si>
    <t>LI-03116</t>
  </si>
  <si>
    <t>LI-03117</t>
  </si>
  <si>
    <t>LI-03118</t>
  </si>
  <si>
    <t>LI-03119</t>
  </si>
  <si>
    <t>LI-03120</t>
  </si>
  <si>
    <t>LI-03121</t>
  </si>
  <si>
    <t>LI-03122</t>
  </si>
  <si>
    <t>LI-03123</t>
  </si>
  <si>
    <t>LI-03124</t>
  </si>
  <si>
    <t>LI-03125</t>
  </si>
  <si>
    <t>LI-03126</t>
  </si>
  <si>
    <t>LI-03127</t>
  </si>
  <si>
    <t>LI-03128</t>
  </si>
  <si>
    <t>LI-03129</t>
  </si>
  <si>
    <t>LI-03130</t>
  </si>
  <si>
    <t>LI-03131</t>
  </si>
  <si>
    <t>LI-03132</t>
  </si>
  <si>
    <t>LI-03133</t>
  </si>
  <si>
    <t>LI-03134</t>
  </si>
  <si>
    <t>LI-03135</t>
  </si>
  <si>
    <t>LI-03136</t>
  </si>
  <si>
    <t>LI-03137</t>
  </si>
  <si>
    <t>LI-03138</t>
  </si>
  <si>
    <t>LI-03139</t>
  </si>
  <si>
    <t>LI-03140</t>
  </si>
  <si>
    <t>LI-03141</t>
  </si>
  <si>
    <t>LI-03142</t>
  </si>
  <si>
    <t>LI-03143</t>
  </si>
  <si>
    <t>LI-03144</t>
  </si>
  <si>
    <t>LI-03145</t>
  </si>
  <si>
    <t>LI-03146</t>
  </si>
  <si>
    <t>LI-03147</t>
  </si>
  <si>
    <t>LI-03148</t>
  </si>
  <si>
    <t>LI-03149</t>
  </si>
  <si>
    <t>LI-03150</t>
  </si>
  <si>
    <t>LI-03151</t>
  </si>
  <si>
    <t>LI-03152</t>
  </si>
  <si>
    <t>LI-03153</t>
  </si>
  <si>
    <t>LI-03154</t>
  </si>
  <si>
    <t>LI-03155</t>
  </si>
  <si>
    <t>PO-2025-1039</t>
  </si>
  <si>
    <t>LI-03156</t>
  </si>
  <si>
    <t>LI-03157</t>
  </si>
  <si>
    <t>LI-03158</t>
  </si>
  <si>
    <t>LI-03159</t>
  </si>
  <si>
    <t>LI-03160</t>
  </si>
  <si>
    <t>LI-03161</t>
  </si>
  <si>
    <t>LI-03162</t>
  </si>
  <si>
    <t>LI-03163</t>
  </si>
  <si>
    <t>LI-03164</t>
  </si>
  <si>
    <t>LI-03165</t>
  </si>
  <si>
    <t>LI-03166</t>
  </si>
  <si>
    <t>LI-03167</t>
  </si>
  <si>
    <t>LI-03168</t>
  </si>
  <si>
    <t>LI-03169</t>
  </si>
  <si>
    <t>LI-03170</t>
  </si>
  <si>
    <t>LI-03171</t>
  </si>
  <si>
    <t>LI-03172</t>
  </si>
  <si>
    <t>LI-03173</t>
  </si>
  <si>
    <t>LI-03174</t>
  </si>
  <si>
    <t>LI-03175</t>
  </si>
  <si>
    <t>LI-03176</t>
  </si>
  <si>
    <t>LI-03177</t>
  </si>
  <si>
    <t>LI-03178</t>
  </si>
  <si>
    <t>LI-03179</t>
  </si>
  <si>
    <t>LI-03180</t>
  </si>
  <si>
    <t>LI-03181</t>
  </si>
  <si>
    <t>LI-03182</t>
  </si>
  <si>
    <t>LI-03183</t>
  </si>
  <si>
    <t>LI-03184</t>
  </si>
  <si>
    <t>LI-03185</t>
  </si>
  <si>
    <t>LI-03186</t>
  </si>
  <si>
    <t>LI-03187</t>
  </si>
  <si>
    <t>LI-03188</t>
  </si>
  <si>
    <t>LI-03189</t>
  </si>
  <si>
    <t>LI-03190</t>
  </si>
  <si>
    <t>LI-03191</t>
  </si>
  <si>
    <t>LI-03192</t>
  </si>
  <si>
    <t>LI-03193</t>
  </si>
  <si>
    <t>LI-03194</t>
  </si>
  <si>
    <t>LI-03195</t>
  </si>
  <si>
    <t>LI-03196</t>
  </si>
  <si>
    <t>LI-03197</t>
  </si>
  <si>
    <t>LI-03198</t>
  </si>
  <si>
    <t>LI-03199</t>
  </si>
  <si>
    <t>LI-03200</t>
  </si>
  <si>
    <t>LI-03201</t>
  </si>
  <si>
    <t>LI-03202</t>
  </si>
  <si>
    <t>LI-03203</t>
  </si>
  <si>
    <t>LI-03204</t>
  </si>
  <si>
    <t>LI-03205</t>
  </si>
  <si>
    <t>LI-03206</t>
  </si>
  <si>
    <t>LI-03207</t>
  </si>
  <si>
    <t>LI-03208</t>
  </si>
  <si>
    <t>LI-03209</t>
  </si>
  <si>
    <t>LI-03210</t>
  </si>
  <si>
    <t>LI-03211</t>
  </si>
  <si>
    <t>LI-03212</t>
  </si>
  <si>
    <t>LI-03213</t>
  </si>
  <si>
    <t>LI-03214</t>
  </si>
  <si>
    <t>LI-03215</t>
  </si>
  <si>
    <t>LI-03216</t>
  </si>
  <si>
    <t>LI-03217</t>
  </si>
  <si>
    <t>LI-03218</t>
  </si>
  <si>
    <t>LI-03219</t>
  </si>
  <si>
    <t>LI-03220</t>
  </si>
  <si>
    <t>LI-03221</t>
  </si>
  <si>
    <t>LI-03222</t>
  </si>
  <si>
    <t>LI-03223</t>
  </si>
  <si>
    <t>LI-03224</t>
  </si>
  <si>
    <t>LI-03225</t>
  </si>
  <si>
    <t>LI-03226</t>
  </si>
  <si>
    <t>LI-03227</t>
  </si>
  <si>
    <t>LI-03228</t>
  </si>
  <si>
    <t>LI-03229</t>
  </si>
  <si>
    <t>LI-03230</t>
  </si>
  <si>
    <t>LI-03231</t>
  </si>
  <si>
    <t>LI-03232</t>
  </si>
  <si>
    <t>LI-03233</t>
  </si>
  <si>
    <t>LI-03234</t>
  </si>
  <si>
    <t>LI-03235</t>
  </si>
  <si>
    <t>LI-03236</t>
  </si>
  <si>
    <t>LI-03237</t>
  </si>
  <si>
    <t>LI-03238</t>
  </si>
  <si>
    <t>LI-03239</t>
  </si>
  <si>
    <t>LI-03240</t>
  </si>
  <si>
    <t>LI-03241</t>
  </si>
  <si>
    <t>LI-03242</t>
  </si>
  <si>
    <t>PO-2025-1040</t>
  </si>
  <si>
    <t>LI-03243</t>
  </si>
  <si>
    <t>LI-03244</t>
  </si>
  <si>
    <t>LI-03245</t>
  </si>
  <si>
    <t>LI-03246</t>
  </si>
  <si>
    <t>LI-03247</t>
  </si>
  <si>
    <t>LI-03248</t>
  </si>
  <si>
    <t>LI-03249</t>
  </si>
  <si>
    <t>LI-03250</t>
  </si>
  <si>
    <t>LI-03251</t>
  </si>
  <si>
    <t>LI-03252</t>
  </si>
  <si>
    <t>LI-03253</t>
  </si>
  <si>
    <t>LI-03254</t>
  </si>
  <si>
    <t>LI-03255</t>
  </si>
  <si>
    <t>LI-03256</t>
  </si>
  <si>
    <t>LI-03257</t>
  </si>
  <si>
    <t>LI-03258</t>
  </si>
  <si>
    <t>LI-03259</t>
  </si>
  <si>
    <t>LI-03260</t>
  </si>
  <si>
    <t>LI-03261</t>
  </si>
  <si>
    <t>LI-03262</t>
  </si>
  <si>
    <t>LI-03263</t>
  </si>
  <si>
    <t>LI-03264</t>
  </si>
  <si>
    <t>LI-03265</t>
  </si>
  <si>
    <t>LI-03266</t>
  </si>
  <si>
    <t>LI-03267</t>
  </si>
  <si>
    <t>LI-03268</t>
  </si>
  <si>
    <t>LI-03269</t>
  </si>
  <si>
    <t>LI-03270</t>
  </si>
  <si>
    <t>LI-03271</t>
  </si>
  <si>
    <t>LI-03272</t>
  </si>
  <si>
    <t>LI-03273</t>
  </si>
  <si>
    <t>LI-03274</t>
  </si>
  <si>
    <t>LI-03275</t>
  </si>
  <si>
    <t>LI-03276</t>
  </si>
  <si>
    <t>LI-03277</t>
  </si>
  <si>
    <t>LI-03278</t>
  </si>
  <si>
    <t>LI-03279</t>
  </si>
  <si>
    <t>LI-03280</t>
  </si>
  <si>
    <t>LI-03281</t>
  </si>
  <si>
    <t>LI-03282</t>
  </si>
  <si>
    <t>LI-03283</t>
  </si>
  <si>
    <t>LI-03284</t>
  </si>
  <si>
    <t>LI-03285</t>
  </si>
  <si>
    <t>LI-03286</t>
  </si>
  <si>
    <t>LI-03287</t>
  </si>
  <si>
    <t>LI-03288</t>
  </si>
  <si>
    <t>LI-03289</t>
  </si>
  <si>
    <t>LI-03290</t>
  </si>
  <si>
    <t>LI-03291</t>
  </si>
  <si>
    <t>LI-03292</t>
  </si>
  <si>
    <t>LI-03293</t>
  </si>
  <si>
    <t>LI-03294</t>
  </si>
  <si>
    <t>LI-03295</t>
  </si>
  <si>
    <t>LI-03296</t>
  </si>
  <si>
    <t>LI-03297</t>
  </si>
  <si>
    <t>LI-03298</t>
  </si>
  <si>
    <t>LI-03299</t>
  </si>
  <si>
    <t>LI-03300</t>
  </si>
  <si>
    <t>LI-03301</t>
  </si>
  <si>
    <t>LI-03302</t>
  </si>
  <si>
    <t>LI-03303</t>
  </si>
  <si>
    <t>LI-03304</t>
  </si>
  <si>
    <t>LI-03305</t>
  </si>
  <si>
    <t>LI-03306</t>
  </si>
  <si>
    <t>LI-03307</t>
  </si>
  <si>
    <t>LI-03308</t>
  </si>
  <si>
    <t>LI-03309</t>
  </si>
  <si>
    <t>LI-03310</t>
  </si>
  <si>
    <t>LI-03311</t>
  </si>
  <si>
    <t>LI-03312</t>
  </si>
  <si>
    <t>LI-03313</t>
  </si>
  <si>
    <t>LI-03314</t>
  </si>
  <si>
    <t>LI-03315</t>
  </si>
  <si>
    <t>LI-03316</t>
  </si>
  <si>
    <t>LI-03317</t>
  </si>
  <si>
    <t>LI-03318</t>
  </si>
  <si>
    <t>LI-03319</t>
  </si>
  <si>
    <t>LI-03320</t>
  </si>
  <si>
    <t>LI-03321</t>
  </si>
  <si>
    <t>LI-03322</t>
  </si>
  <si>
    <t>LI-03323</t>
  </si>
  <si>
    <t>LI-03324</t>
  </si>
  <si>
    <t>LI-03325</t>
  </si>
  <si>
    <t>LI-03326</t>
  </si>
  <si>
    <t>LI-03327</t>
  </si>
  <si>
    <t>LI-03328</t>
  </si>
  <si>
    <t>LI-03329</t>
  </si>
  <si>
    <t>LI-03330</t>
  </si>
  <si>
    <t>LI-03331</t>
  </si>
  <si>
    <t>LI-03332</t>
  </si>
  <si>
    <t>LI-03333</t>
  </si>
  <si>
    <t>LI-03334</t>
  </si>
  <si>
    <t>LI-03335</t>
  </si>
  <si>
    <t>LI-03336</t>
  </si>
  <si>
    <t>LI-03337</t>
  </si>
  <si>
    <t>LI-03338</t>
  </si>
  <si>
    <t>LI-03339</t>
  </si>
  <si>
    <t>LI-03340</t>
  </si>
  <si>
    <t>LI-03341</t>
  </si>
  <si>
    <t>LI-03342</t>
  </si>
  <si>
    <t>LI-03343</t>
  </si>
  <si>
    <t>LI-03344</t>
  </si>
  <si>
    <t>LI-03345</t>
  </si>
  <si>
    <t>LI-03346</t>
  </si>
  <si>
    <t>LI-03347</t>
  </si>
  <si>
    <t>LI-03348</t>
  </si>
  <si>
    <t>LI-03349</t>
  </si>
  <si>
    <t>LI-03350</t>
  </si>
  <si>
    <t>LI-03351</t>
  </si>
  <si>
    <t>LI-03352</t>
  </si>
  <si>
    <t>LI-03353</t>
  </si>
  <si>
    <t>LI-03354</t>
  </si>
  <si>
    <t>LI-03355</t>
  </si>
  <si>
    <t>LI-03356</t>
  </si>
  <si>
    <t>LI-03357</t>
  </si>
  <si>
    <t>LI-03358</t>
  </si>
  <si>
    <t>LI-03359</t>
  </si>
  <si>
    <t>LI-03360</t>
  </si>
  <si>
    <t>LI-03361</t>
  </si>
  <si>
    <t>LI-03362</t>
  </si>
  <si>
    <t>LI-03363</t>
  </si>
  <si>
    <t>LI-03364</t>
  </si>
  <si>
    <t>LI-03365</t>
  </si>
  <si>
    <t>LI-03366</t>
  </si>
  <si>
    <t>LI-03367</t>
  </si>
  <si>
    <t>LI-03368</t>
  </si>
  <si>
    <t>LI-03369</t>
  </si>
  <si>
    <t>LI-03370</t>
  </si>
  <si>
    <t>LI-03371</t>
  </si>
  <si>
    <t>LI-03372</t>
  </si>
  <si>
    <t>LI-03373</t>
  </si>
  <si>
    <t>LI-03374</t>
  </si>
  <si>
    <t>LI-03375</t>
  </si>
  <si>
    <t>LI-03376</t>
  </si>
  <si>
    <t>LI-03377</t>
  </si>
  <si>
    <t>LI-03378</t>
  </si>
  <si>
    <t>LI-03379</t>
  </si>
  <si>
    <t>LI-03380</t>
  </si>
  <si>
    <t>PO-2025-1041</t>
  </si>
  <si>
    <t>LI-03381</t>
  </si>
  <si>
    <t>LI-03382</t>
  </si>
  <si>
    <t>LI-03383</t>
  </si>
  <si>
    <t>LI-03384</t>
  </si>
  <si>
    <t>LI-03385</t>
  </si>
  <si>
    <t>LI-03386</t>
  </si>
  <si>
    <t>LI-03387</t>
  </si>
  <si>
    <t>LI-03388</t>
  </si>
  <si>
    <t>LI-03389</t>
  </si>
  <si>
    <t>LI-03390</t>
  </si>
  <si>
    <t>LI-03391</t>
  </si>
  <si>
    <t>LI-03392</t>
  </si>
  <si>
    <t>LI-03393</t>
  </si>
  <si>
    <t>LI-03394</t>
  </si>
  <si>
    <t>LI-03395</t>
  </si>
  <si>
    <t>LI-03396</t>
  </si>
  <si>
    <t>LI-03397</t>
  </si>
  <si>
    <t>LI-03398</t>
  </si>
  <si>
    <t>LI-03399</t>
  </si>
  <si>
    <t>LI-03400</t>
  </si>
  <si>
    <t>LI-03401</t>
  </si>
  <si>
    <t>LI-03402</t>
  </si>
  <si>
    <t>LI-03403</t>
  </si>
  <si>
    <t>LI-03404</t>
  </si>
  <si>
    <t>LI-03405</t>
  </si>
  <si>
    <t>LI-03406</t>
  </si>
  <si>
    <t>LI-03407</t>
  </si>
  <si>
    <t>LI-03408</t>
  </si>
  <si>
    <t>LI-03409</t>
  </si>
  <si>
    <t>LI-03410</t>
  </si>
  <si>
    <t>LI-03411</t>
  </si>
  <si>
    <t>LI-03412</t>
  </si>
  <si>
    <t>LI-03413</t>
  </si>
  <si>
    <t>LI-03414</t>
  </si>
  <si>
    <t>LI-03415</t>
  </si>
  <si>
    <t>LI-03416</t>
  </si>
  <si>
    <t>LI-03417</t>
  </si>
  <si>
    <t>LI-03418</t>
  </si>
  <si>
    <t>LI-03419</t>
  </si>
  <si>
    <t>LI-03420</t>
  </si>
  <si>
    <t>LI-03421</t>
  </si>
  <si>
    <t>LI-03422</t>
  </si>
  <si>
    <t>LI-03423</t>
  </si>
  <si>
    <t>LI-03424</t>
  </si>
  <si>
    <t>LI-03425</t>
  </si>
  <si>
    <t>LI-03426</t>
  </si>
  <si>
    <t>LI-03427</t>
  </si>
  <si>
    <t>LI-03428</t>
  </si>
  <si>
    <t>LI-03429</t>
  </si>
  <si>
    <t>LI-03430</t>
  </si>
  <si>
    <t>LI-03431</t>
  </si>
  <si>
    <t>LI-03432</t>
  </si>
  <si>
    <t>LI-03433</t>
  </si>
  <si>
    <t>LI-03434</t>
  </si>
  <si>
    <t>LI-03435</t>
  </si>
  <si>
    <t>LI-03436</t>
  </si>
  <si>
    <t>LI-03437</t>
  </si>
  <si>
    <t>LI-03438</t>
  </si>
  <si>
    <t>LI-03439</t>
  </si>
  <si>
    <t>LI-03440</t>
  </si>
  <si>
    <t>LI-03441</t>
  </si>
  <si>
    <t>LI-03442</t>
  </si>
  <si>
    <t>LI-03443</t>
  </si>
  <si>
    <t>LI-03444</t>
  </si>
  <si>
    <t>LI-03445</t>
  </si>
  <si>
    <t>LI-03446</t>
  </si>
  <si>
    <t>LI-03447</t>
  </si>
  <si>
    <t>LI-03448</t>
  </si>
  <si>
    <t>LI-03449</t>
  </si>
  <si>
    <t>LI-03450</t>
  </si>
  <si>
    <t>TOTAL</t>
  </si>
  <si>
    <t>po_date</t>
  </si>
  <si>
    <t>payment_terms</t>
  </si>
  <si>
    <t>delivery_terms</t>
  </si>
  <si>
    <t>status</t>
  </si>
  <si>
    <t>item_count</t>
  </si>
  <si>
    <t>line_item_total</t>
  </si>
  <si>
    <t>Granite Construction Materials</t>
  </si>
  <si>
    <t>Net 15</t>
  </si>
  <si>
    <t>CIF</t>
  </si>
  <si>
    <t>DRAFT</t>
  </si>
  <si>
    <t>Sierra Metals Corp.</t>
  </si>
  <si>
    <t>EXW</t>
  </si>
  <si>
    <t>FINALIZED</t>
  </si>
  <si>
    <t>Fjord Marine Supplies</t>
  </si>
  <si>
    <t>FOB Origin</t>
  </si>
  <si>
    <t>ARCHIVED</t>
  </si>
  <si>
    <t>Horizon Pharma Ingredients</t>
  </si>
  <si>
    <t>Net 60</t>
  </si>
  <si>
    <t>FOB Destination</t>
  </si>
  <si>
    <t>Cobalt Instruments</t>
  </si>
  <si>
    <t>Net 45</t>
  </si>
  <si>
    <t>Ionix Semiconductors</t>
  </si>
  <si>
    <t>Cascade Foods Inc.</t>
  </si>
  <si>
    <t>Kestrel Auto Parts</t>
  </si>
  <si>
    <t>Juniper Paper Mills</t>
  </si>
  <si>
    <t>Harbor Chemicals Ltd.</t>
  </si>
  <si>
    <t>Net 30</t>
  </si>
  <si>
    <t>Aurora Packaging Group</t>
  </si>
  <si>
    <t>Delta Agro Exports</t>
  </si>
  <si>
    <t>Northwind Electronics</t>
  </si>
  <si>
    <t>Blue Ridge Textiles LLC</t>
  </si>
  <si>
    <t>DAP</t>
  </si>
  <si>
    <t>Everest Polymers</t>
  </si>
  <si>
    <t>GRAND TOTAL</t>
  </si>
  <si>
    <t>Tradebook Dashboard (XL)</t>
  </si>
  <si>
    <t>Metric</t>
  </si>
  <si>
    <t>Value</t>
  </si>
  <si>
    <t>Total contracts</t>
  </si>
  <si>
    <t>Total line items</t>
  </si>
  <si>
    <t>Grand contract value</t>
  </si>
  <si>
    <t>Average line value</t>
  </si>
  <si>
    <t>Largest line value</t>
  </si>
  <si>
    <t>DRAFT contracts</t>
  </si>
  <si>
    <t>FINALIZED contracts</t>
  </si>
  <si>
    <t>ARCHIVED contracts</t>
  </si>
  <si>
    <t>By Organization</t>
  </si>
  <si>
    <t>contracts</t>
  </si>
  <si>
    <t>total_value</t>
  </si>
  <si>
    <t>item_quantity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</si>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</sst>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4"/>
      <color rgb="FF1F3864"/>
      <name val="Arial"/>
      <family val="2"/>
    </font>
    <font>
      <b/>
      <sz val="12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5"/>
        <bgColor rgb="FFCCFF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4" fontId="3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3" borderId="0" xfId="0" applyFont="1" applyFill="1"/>
    <xf numFmtId="0" fontId="0" fillId="3" borderId="0" xfId="0" applyFill="1"/>
    <xf numFmtId="164" fontId="4" fillId="3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6" fillId="0" borderId="0" xfId="0" applyFont="1"/>
    <xf numFmtId="0" fontId="4" fillId="3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32" customWidth="1"/>
    <col min="3" max="3" width="1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8</v>
      </c>
    </row>
    <row r="4" spans="1:3" x14ac:dyDescent="0.2">
      <c r="A4" s="2" t="s">
        <v>9</v>
      </c>
      <c r="B4" s="2" t="s">
        <v>10</v>
      </c>
      <c r="C4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52"/>
  <sheetViews>
    <sheetView tabSelected="1" zoomScaleNormal="100" workbookViewId="0">
      <pane ySplit="1" topLeftCell="A2" activePane="bottomLeft" state="frozen"/>
      <selection pane="bottomLeft" activeCell="G2" sqref="G2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3" width="34" customWidth="1"/>
    <col min="4" max="4" width="12" customWidth="1"/>
    <col min="5" max="6" width="13" customWidth="1"/>
    <col min="7" max="7" width="12" customWidth="1"/>
    <col min="8" max="8" width="16" customWidth="1"/>
  </cols>
  <sheetData>
    <row r="1" spans="1:8" ht="28" x14ac:dyDescent="0.2">
      <c r="A1" s="1" t="s">
        <v>12</v>
      </c>
      <c r="B1" s="1" t="s">
        <v>13</v>
      </c>
      <c r="C1" s="1" t="s">
        <v>14</v>
      </c>
      <c r="D1" s="1" t="s">
        <v>3592</v>
      </c>
      <c r="E1" s="1" t="s">
        <v>24</v>
      </c>
      <c r="F1" s="1" t="s">
        <v>15</v>
      </c>
      <c r="G1" s="1" t="s">
        <v>3593</v>
      </c>
      <c r="H1" s="1" t="s">
        <v>16</v>
      </c>
    </row>
    <row r="2" spans="1:8" x14ac:dyDescent="0.2">
      <c r="A2" s="2" t="s">
        <v>17</v>
      </c>
      <c r="B2" s="2" t="s">
        <v>18</v>
      </c>
      <c r="C2" s="2" t="s">
        <v>19</v>
      </c>
      <c r="D2" s="3">
        <v>3598</v>
      </c>
      <c r="E2" s="4" t="s">
        <v>20</v>
      </c>
      <c r="F2" s="5">
        <v>1.64</v>
      </c>
      <c r="G2" s="4" t="s">
        <v>21</v>
      </c>
      <c r="H2" s="6">
        <f t="shared" ref="H2:H65" si="0">D2*F2</f>
        <v>5900.7199999999993</v>
      </c>
    </row>
    <row r="3" spans="1:8" x14ac:dyDescent="0.2">
      <c r="A3" s="2" t="s">
        <v>22</v>
      </c>
      <c r="B3" s="2" t="s">
        <v>18</v>
      </c>
      <c r="C3" s="2" t="s">
        <v>23</v>
      </c>
      <c r="D3" s="3">
        <v>1001</v>
      </c>
      <c r="E3" s="4" t="s">
        <v>24</v>
      </c>
      <c r="F3" s="5">
        <v>13.49</v>
      </c>
      <c r="G3" s="4" t="s">
        <v>25</v>
      </c>
      <c r="H3" s="6">
        <f t="shared" si="0"/>
        <v>13503.49</v>
      </c>
    </row>
    <row r="4" spans="1:8" x14ac:dyDescent="0.2">
      <c r="A4" s="2" t="s">
        <v>26</v>
      </c>
      <c r="B4" s="2" t="s">
        <v>18</v>
      </c>
      <c r="C4" s="2" t="s">
        <v>27</v>
      </c>
      <c r="D4" s="3">
        <v>2779</v>
      </c>
      <c r="E4" s="4" t="s">
        <v>20</v>
      </c>
      <c r="F4" s="5">
        <v>1.23</v>
      </c>
      <c r="G4" s="4" t="s">
        <v>21</v>
      </c>
      <c r="H4" s="6">
        <f t="shared" si="0"/>
        <v>3418.17</v>
      </c>
    </row>
    <row r="5" spans="1:8" x14ac:dyDescent="0.2">
      <c r="A5" s="2" t="s">
        <v>28</v>
      </c>
      <c r="B5" s="2" t="s">
        <v>18</v>
      </c>
      <c r="C5" s="2" t="s">
        <v>29</v>
      </c>
      <c r="D5" s="3">
        <v>1895</v>
      </c>
      <c r="E5" s="4" t="s">
        <v>30</v>
      </c>
      <c r="F5" s="5">
        <v>1.71</v>
      </c>
      <c r="G5" s="4" t="s">
        <v>31</v>
      </c>
      <c r="H5" s="6">
        <f t="shared" si="0"/>
        <v>3240.45</v>
      </c>
    </row>
    <row r="6" spans="1:8" x14ac:dyDescent="0.2">
      <c r="A6" s="2" t="s">
        <v>32</v>
      </c>
      <c r="B6" s="2" t="s">
        <v>18</v>
      </c>
      <c r="C6" s="2" t="s">
        <v>33</v>
      </c>
      <c r="D6" s="3">
        <v>591</v>
      </c>
      <c r="E6" s="4" t="s">
        <v>34</v>
      </c>
      <c r="F6" s="5">
        <v>5.27</v>
      </c>
      <c r="G6" s="4" t="s">
        <v>35</v>
      </c>
      <c r="H6" s="6">
        <f t="shared" si="0"/>
        <v>3114.5699999999997</v>
      </c>
    </row>
    <row r="7" spans="1:8" x14ac:dyDescent="0.2">
      <c r="A7" s="2" t="s">
        <v>36</v>
      </c>
      <c r="B7" s="2" t="s">
        <v>18</v>
      </c>
      <c r="C7" s="2" t="s">
        <v>37</v>
      </c>
      <c r="D7" s="3">
        <v>1885</v>
      </c>
      <c r="E7" s="4" t="s">
        <v>38</v>
      </c>
      <c r="F7" s="5">
        <v>2.2000000000000002</v>
      </c>
      <c r="G7" s="4" t="s">
        <v>39</v>
      </c>
      <c r="H7" s="6">
        <f t="shared" si="0"/>
        <v>4147</v>
      </c>
    </row>
    <row r="8" spans="1:8" x14ac:dyDescent="0.2">
      <c r="A8" s="2" t="s">
        <v>40</v>
      </c>
      <c r="B8" s="2" t="s">
        <v>18</v>
      </c>
      <c r="C8" s="2" t="s">
        <v>37</v>
      </c>
      <c r="D8" s="3">
        <v>2716</v>
      </c>
      <c r="E8" s="4" t="s">
        <v>38</v>
      </c>
      <c r="F8" s="5">
        <v>2.21</v>
      </c>
      <c r="G8" s="4" t="s">
        <v>39</v>
      </c>
      <c r="H8" s="6">
        <f t="shared" si="0"/>
        <v>6002.36</v>
      </c>
    </row>
    <row r="9" spans="1:8" x14ac:dyDescent="0.2">
      <c r="A9" s="2" t="s">
        <v>41</v>
      </c>
      <c r="B9" s="2" t="s">
        <v>18</v>
      </c>
      <c r="C9" s="2" t="s">
        <v>42</v>
      </c>
      <c r="D9" s="3">
        <v>2291</v>
      </c>
      <c r="E9" s="4" t="s">
        <v>24</v>
      </c>
      <c r="F9" s="5">
        <v>5.51</v>
      </c>
      <c r="G9" s="4" t="s">
        <v>25</v>
      </c>
      <c r="H9" s="6">
        <f t="shared" si="0"/>
        <v>12623.41</v>
      </c>
    </row>
    <row r="10" spans="1:8" x14ac:dyDescent="0.2">
      <c r="A10" s="2" t="s">
        <v>43</v>
      </c>
      <c r="B10" s="2" t="s">
        <v>18</v>
      </c>
      <c r="C10" s="2" t="s">
        <v>44</v>
      </c>
      <c r="D10" s="3">
        <v>4427</v>
      </c>
      <c r="E10" s="4" t="s">
        <v>24</v>
      </c>
      <c r="F10" s="5">
        <v>0.99</v>
      </c>
      <c r="G10" s="4" t="s">
        <v>25</v>
      </c>
      <c r="H10" s="6">
        <f t="shared" si="0"/>
        <v>4382.7299999999996</v>
      </c>
    </row>
    <row r="11" spans="1:8" x14ac:dyDescent="0.2">
      <c r="A11" s="2" t="s">
        <v>45</v>
      </c>
      <c r="B11" s="2" t="s">
        <v>18</v>
      </c>
      <c r="C11" s="2" t="s">
        <v>46</v>
      </c>
      <c r="D11" s="3">
        <v>4730</v>
      </c>
      <c r="E11" s="4" t="s">
        <v>20</v>
      </c>
      <c r="F11" s="5">
        <v>2.95</v>
      </c>
      <c r="G11" s="4" t="s">
        <v>21</v>
      </c>
      <c r="H11" s="6">
        <f t="shared" si="0"/>
        <v>13953.5</v>
      </c>
    </row>
    <row r="12" spans="1:8" x14ac:dyDescent="0.2">
      <c r="A12" s="2" t="s">
        <v>47</v>
      </c>
      <c r="B12" s="2" t="s">
        <v>18</v>
      </c>
      <c r="C12" s="2" t="s">
        <v>48</v>
      </c>
      <c r="D12" s="3">
        <v>3344</v>
      </c>
      <c r="E12" s="4" t="s">
        <v>24</v>
      </c>
      <c r="F12" s="5">
        <v>0.08</v>
      </c>
      <c r="G12" s="4" t="s">
        <v>25</v>
      </c>
      <c r="H12" s="6">
        <f t="shared" si="0"/>
        <v>267.52</v>
      </c>
    </row>
    <row r="13" spans="1:8" x14ac:dyDescent="0.2">
      <c r="A13" s="2" t="s">
        <v>49</v>
      </c>
      <c r="B13" s="2" t="s">
        <v>18</v>
      </c>
      <c r="C13" s="2" t="s">
        <v>50</v>
      </c>
      <c r="D13" s="3">
        <v>3541</v>
      </c>
      <c r="E13" s="4" t="s">
        <v>20</v>
      </c>
      <c r="F13" s="5">
        <v>0.91</v>
      </c>
      <c r="G13" s="4" t="s">
        <v>21</v>
      </c>
      <c r="H13" s="6">
        <f t="shared" si="0"/>
        <v>3222.31</v>
      </c>
    </row>
    <row r="14" spans="1:8" x14ac:dyDescent="0.2">
      <c r="A14" s="2" t="s">
        <v>51</v>
      </c>
      <c r="B14" s="2" t="s">
        <v>18</v>
      </c>
      <c r="C14" s="2" t="s">
        <v>52</v>
      </c>
      <c r="D14" s="3">
        <v>3835</v>
      </c>
      <c r="E14" s="4" t="s">
        <v>53</v>
      </c>
      <c r="F14" s="5">
        <v>13.32</v>
      </c>
      <c r="G14" s="4" t="s">
        <v>54</v>
      </c>
      <c r="H14" s="6">
        <f t="shared" si="0"/>
        <v>51082.200000000004</v>
      </c>
    </row>
    <row r="15" spans="1:8" x14ac:dyDescent="0.2">
      <c r="A15" s="2" t="s">
        <v>55</v>
      </c>
      <c r="B15" s="2" t="s">
        <v>18</v>
      </c>
      <c r="C15" s="2" t="s">
        <v>37</v>
      </c>
      <c r="D15" s="3">
        <v>816</v>
      </c>
      <c r="E15" s="4" t="s">
        <v>38</v>
      </c>
      <c r="F15" s="5">
        <v>2.1800000000000002</v>
      </c>
      <c r="G15" s="4" t="s">
        <v>39</v>
      </c>
      <c r="H15" s="6">
        <f t="shared" si="0"/>
        <v>1778.88</v>
      </c>
    </row>
    <row r="16" spans="1:8" x14ac:dyDescent="0.2">
      <c r="A16" s="2" t="s">
        <v>56</v>
      </c>
      <c r="B16" s="2" t="s">
        <v>18</v>
      </c>
      <c r="C16" s="2" t="s">
        <v>57</v>
      </c>
      <c r="D16" s="3">
        <v>905</v>
      </c>
      <c r="E16" s="4" t="s">
        <v>20</v>
      </c>
      <c r="F16" s="5">
        <v>0.7</v>
      </c>
      <c r="G16" s="4" t="s">
        <v>21</v>
      </c>
      <c r="H16" s="6">
        <f t="shared" si="0"/>
        <v>633.5</v>
      </c>
    </row>
    <row r="17" spans="1:8" x14ac:dyDescent="0.2">
      <c r="A17" s="2" t="s">
        <v>58</v>
      </c>
      <c r="B17" s="2" t="s">
        <v>18</v>
      </c>
      <c r="C17" s="2" t="s">
        <v>44</v>
      </c>
      <c r="D17" s="3">
        <v>4403</v>
      </c>
      <c r="E17" s="4" t="s">
        <v>24</v>
      </c>
      <c r="F17" s="5">
        <v>1.21</v>
      </c>
      <c r="G17" s="4" t="s">
        <v>25</v>
      </c>
      <c r="H17" s="6">
        <f t="shared" si="0"/>
        <v>5327.63</v>
      </c>
    </row>
    <row r="18" spans="1:8" x14ac:dyDescent="0.2">
      <c r="A18" s="2" t="s">
        <v>59</v>
      </c>
      <c r="B18" s="2" t="s">
        <v>18</v>
      </c>
      <c r="C18" s="2" t="s">
        <v>52</v>
      </c>
      <c r="D18" s="3">
        <v>1513</v>
      </c>
      <c r="E18" s="4" t="s">
        <v>53</v>
      </c>
      <c r="F18" s="5">
        <v>10.39</v>
      </c>
      <c r="G18" s="4" t="s">
        <v>54</v>
      </c>
      <c r="H18" s="6">
        <f t="shared" si="0"/>
        <v>15720.070000000002</v>
      </c>
    </row>
    <row r="19" spans="1:8" x14ac:dyDescent="0.2">
      <c r="A19" s="2" t="s">
        <v>60</v>
      </c>
      <c r="B19" s="2" t="s">
        <v>18</v>
      </c>
      <c r="C19" s="2" t="s">
        <v>42</v>
      </c>
      <c r="D19" s="3">
        <v>627</v>
      </c>
      <c r="E19" s="4" t="s">
        <v>24</v>
      </c>
      <c r="F19" s="5">
        <v>4.83</v>
      </c>
      <c r="G19" s="4" t="s">
        <v>25</v>
      </c>
      <c r="H19" s="6">
        <f t="shared" si="0"/>
        <v>3028.41</v>
      </c>
    </row>
    <row r="20" spans="1:8" x14ac:dyDescent="0.2">
      <c r="A20" s="2" t="s">
        <v>61</v>
      </c>
      <c r="B20" s="2" t="s">
        <v>18</v>
      </c>
      <c r="C20" s="2" t="s">
        <v>29</v>
      </c>
      <c r="D20" s="3">
        <v>812</v>
      </c>
      <c r="E20" s="4" t="s">
        <v>30</v>
      </c>
      <c r="F20" s="5">
        <v>1.06</v>
      </c>
      <c r="G20" s="4" t="s">
        <v>31</v>
      </c>
      <c r="H20" s="6">
        <f t="shared" si="0"/>
        <v>860.72</v>
      </c>
    </row>
    <row r="21" spans="1:8" x14ac:dyDescent="0.2">
      <c r="A21" s="2" t="s">
        <v>62</v>
      </c>
      <c r="B21" s="2" t="s">
        <v>18</v>
      </c>
      <c r="C21" s="2" t="s">
        <v>29</v>
      </c>
      <c r="D21" s="3">
        <v>130</v>
      </c>
      <c r="E21" s="4" t="s">
        <v>30</v>
      </c>
      <c r="F21" s="5">
        <v>2.16</v>
      </c>
      <c r="G21" s="4" t="s">
        <v>31</v>
      </c>
      <c r="H21" s="6">
        <f t="shared" si="0"/>
        <v>280.8</v>
      </c>
    </row>
    <row r="22" spans="1:8" x14ac:dyDescent="0.2">
      <c r="A22" s="2" t="s">
        <v>63</v>
      </c>
      <c r="B22" s="2" t="s">
        <v>18</v>
      </c>
      <c r="C22" s="2" t="s">
        <v>42</v>
      </c>
      <c r="D22" s="3">
        <v>1372</v>
      </c>
      <c r="E22" s="4" t="s">
        <v>24</v>
      </c>
      <c r="F22" s="5">
        <v>4.72</v>
      </c>
      <c r="G22" s="4" t="s">
        <v>25</v>
      </c>
      <c r="H22" s="6">
        <f t="shared" si="0"/>
        <v>6475.8399999999992</v>
      </c>
    </row>
    <row r="23" spans="1:8" x14ac:dyDescent="0.2">
      <c r="A23" s="2" t="s">
        <v>64</v>
      </c>
      <c r="B23" s="2" t="s">
        <v>18</v>
      </c>
      <c r="C23" s="2" t="s">
        <v>48</v>
      </c>
      <c r="D23" s="3">
        <v>1761</v>
      </c>
      <c r="E23" s="4" t="s">
        <v>24</v>
      </c>
      <c r="F23" s="5">
        <v>0.18</v>
      </c>
      <c r="G23" s="4" t="s">
        <v>25</v>
      </c>
      <c r="H23" s="6">
        <f t="shared" si="0"/>
        <v>316.97999999999996</v>
      </c>
    </row>
    <row r="24" spans="1:8" x14ac:dyDescent="0.2">
      <c r="A24" s="2" t="s">
        <v>65</v>
      </c>
      <c r="B24" s="2" t="s">
        <v>18</v>
      </c>
      <c r="C24" s="2" t="s">
        <v>37</v>
      </c>
      <c r="D24" s="3">
        <v>1358</v>
      </c>
      <c r="E24" s="4" t="s">
        <v>38</v>
      </c>
      <c r="F24" s="5">
        <v>3.14</v>
      </c>
      <c r="G24" s="4" t="s">
        <v>39</v>
      </c>
      <c r="H24" s="6">
        <f t="shared" si="0"/>
        <v>4264.12</v>
      </c>
    </row>
    <row r="25" spans="1:8" x14ac:dyDescent="0.2">
      <c r="A25" s="2" t="s">
        <v>66</v>
      </c>
      <c r="B25" s="2" t="s">
        <v>18</v>
      </c>
      <c r="C25" s="2" t="s">
        <v>67</v>
      </c>
      <c r="D25" s="3">
        <v>2182</v>
      </c>
      <c r="E25" s="4" t="s">
        <v>24</v>
      </c>
      <c r="F25" s="5">
        <v>0.57999999999999996</v>
      </c>
      <c r="G25" s="4" t="s">
        <v>25</v>
      </c>
      <c r="H25" s="6">
        <f t="shared" si="0"/>
        <v>1265.56</v>
      </c>
    </row>
    <row r="26" spans="1:8" x14ac:dyDescent="0.2">
      <c r="A26" s="2" t="s">
        <v>68</v>
      </c>
      <c r="B26" s="2" t="s">
        <v>18</v>
      </c>
      <c r="C26" s="2" t="s">
        <v>23</v>
      </c>
      <c r="D26" s="3">
        <v>2346</v>
      </c>
      <c r="E26" s="4" t="s">
        <v>24</v>
      </c>
      <c r="F26" s="5">
        <v>14.54</v>
      </c>
      <c r="G26" s="4" t="s">
        <v>25</v>
      </c>
      <c r="H26" s="6">
        <f t="shared" si="0"/>
        <v>34110.839999999997</v>
      </c>
    </row>
    <row r="27" spans="1:8" x14ac:dyDescent="0.2">
      <c r="A27" s="2" t="s">
        <v>69</v>
      </c>
      <c r="B27" s="2" t="s">
        <v>18</v>
      </c>
      <c r="C27" s="2" t="s">
        <v>29</v>
      </c>
      <c r="D27" s="3">
        <v>3996</v>
      </c>
      <c r="E27" s="4" t="s">
        <v>30</v>
      </c>
      <c r="F27" s="5">
        <v>1.19</v>
      </c>
      <c r="G27" s="4" t="s">
        <v>31</v>
      </c>
      <c r="H27" s="6">
        <f t="shared" si="0"/>
        <v>4755.24</v>
      </c>
    </row>
    <row r="28" spans="1:8" x14ac:dyDescent="0.2">
      <c r="A28" s="2" t="s">
        <v>70</v>
      </c>
      <c r="B28" s="2" t="s">
        <v>18</v>
      </c>
      <c r="C28" s="2" t="s">
        <v>71</v>
      </c>
      <c r="D28" s="3">
        <v>1793</v>
      </c>
      <c r="E28" s="4" t="s">
        <v>72</v>
      </c>
      <c r="F28" s="5">
        <v>2981.23</v>
      </c>
      <c r="G28" s="4" t="s">
        <v>73</v>
      </c>
      <c r="H28" s="6">
        <f t="shared" si="0"/>
        <v>5345345.3899999997</v>
      </c>
    </row>
    <row r="29" spans="1:8" x14ac:dyDescent="0.2">
      <c r="A29" s="2" t="s">
        <v>74</v>
      </c>
      <c r="B29" s="2" t="s">
        <v>18</v>
      </c>
      <c r="C29" s="2" t="s">
        <v>46</v>
      </c>
      <c r="D29" s="3">
        <v>4451</v>
      </c>
      <c r="E29" s="4" t="s">
        <v>20</v>
      </c>
      <c r="F29" s="5">
        <v>2.12</v>
      </c>
      <c r="G29" s="4" t="s">
        <v>21</v>
      </c>
      <c r="H29" s="6">
        <f t="shared" si="0"/>
        <v>9436.1200000000008</v>
      </c>
    </row>
    <row r="30" spans="1:8" x14ac:dyDescent="0.2">
      <c r="A30" s="2" t="s">
        <v>75</v>
      </c>
      <c r="B30" s="2" t="s">
        <v>18</v>
      </c>
      <c r="C30" s="2" t="s">
        <v>57</v>
      </c>
      <c r="D30" s="3">
        <v>478</v>
      </c>
      <c r="E30" s="4" t="s">
        <v>20</v>
      </c>
      <c r="F30" s="5">
        <v>0.62</v>
      </c>
      <c r="G30" s="4" t="s">
        <v>21</v>
      </c>
      <c r="H30" s="6">
        <f t="shared" si="0"/>
        <v>296.36</v>
      </c>
    </row>
    <row r="31" spans="1:8" x14ac:dyDescent="0.2">
      <c r="A31" s="2" t="s">
        <v>76</v>
      </c>
      <c r="B31" s="2" t="s">
        <v>18</v>
      </c>
      <c r="C31" s="2" t="s">
        <v>48</v>
      </c>
      <c r="D31" s="3">
        <v>4129</v>
      </c>
      <c r="E31" s="4" t="s">
        <v>24</v>
      </c>
      <c r="F31" s="5">
        <v>0.19</v>
      </c>
      <c r="G31" s="4" t="s">
        <v>25</v>
      </c>
      <c r="H31" s="6">
        <f t="shared" si="0"/>
        <v>784.51</v>
      </c>
    </row>
    <row r="32" spans="1:8" x14ac:dyDescent="0.2">
      <c r="A32" s="2" t="s">
        <v>77</v>
      </c>
      <c r="B32" s="2" t="s">
        <v>18</v>
      </c>
      <c r="C32" s="2" t="s">
        <v>78</v>
      </c>
      <c r="D32" s="3">
        <v>1299</v>
      </c>
      <c r="E32" s="4" t="s">
        <v>38</v>
      </c>
      <c r="F32" s="5">
        <v>1.6</v>
      </c>
      <c r="G32" s="4" t="s">
        <v>39</v>
      </c>
      <c r="H32" s="6">
        <f t="shared" si="0"/>
        <v>2078.4</v>
      </c>
    </row>
    <row r="33" spans="1:8" x14ac:dyDescent="0.2">
      <c r="A33" s="2" t="s">
        <v>79</v>
      </c>
      <c r="B33" s="2" t="s">
        <v>18</v>
      </c>
      <c r="C33" s="2" t="s">
        <v>78</v>
      </c>
      <c r="D33" s="3">
        <v>666</v>
      </c>
      <c r="E33" s="4" t="s">
        <v>38</v>
      </c>
      <c r="F33" s="5">
        <v>2.95</v>
      </c>
      <c r="G33" s="4" t="s">
        <v>39</v>
      </c>
      <c r="H33" s="6">
        <f t="shared" si="0"/>
        <v>1964.7</v>
      </c>
    </row>
    <row r="34" spans="1:8" x14ac:dyDescent="0.2">
      <c r="A34" s="2" t="s">
        <v>80</v>
      </c>
      <c r="B34" s="2" t="s">
        <v>18</v>
      </c>
      <c r="C34" s="2" t="s">
        <v>27</v>
      </c>
      <c r="D34" s="3">
        <v>4884</v>
      </c>
      <c r="E34" s="4" t="s">
        <v>20</v>
      </c>
      <c r="F34" s="5">
        <v>1.28</v>
      </c>
      <c r="G34" s="4" t="s">
        <v>21</v>
      </c>
      <c r="H34" s="6">
        <f t="shared" si="0"/>
        <v>6251.52</v>
      </c>
    </row>
    <row r="35" spans="1:8" x14ac:dyDescent="0.2">
      <c r="A35" s="2" t="s">
        <v>81</v>
      </c>
      <c r="B35" s="2" t="s">
        <v>18</v>
      </c>
      <c r="C35" s="2" t="s">
        <v>42</v>
      </c>
      <c r="D35" s="3">
        <v>3317</v>
      </c>
      <c r="E35" s="4" t="s">
        <v>24</v>
      </c>
      <c r="F35" s="5">
        <v>3.86</v>
      </c>
      <c r="G35" s="4" t="s">
        <v>25</v>
      </c>
      <c r="H35" s="6">
        <f t="shared" si="0"/>
        <v>12803.619999999999</v>
      </c>
    </row>
    <row r="36" spans="1:8" x14ac:dyDescent="0.2">
      <c r="A36" s="2" t="s">
        <v>82</v>
      </c>
      <c r="B36" s="2" t="s">
        <v>18</v>
      </c>
      <c r="C36" s="2" t="s">
        <v>46</v>
      </c>
      <c r="D36" s="3">
        <v>2026</v>
      </c>
      <c r="E36" s="4" t="s">
        <v>20</v>
      </c>
      <c r="F36" s="5">
        <v>3.16</v>
      </c>
      <c r="G36" s="4" t="s">
        <v>21</v>
      </c>
      <c r="H36" s="6">
        <f t="shared" si="0"/>
        <v>6402.16</v>
      </c>
    </row>
    <row r="37" spans="1:8" x14ac:dyDescent="0.2">
      <c r="A37" s="2" t="s">
        <v>83</v>
      </c>
      <c r="B37" s="2" t="s">
        <v>18</v>
      </c>
      <c r="C37" s="2" t="s">
        <v>37</v>
      </c>
      <c r="D37" s="3">
        <v>681</v>
      </c>
      <c r="E37" s="4" t="s">
        <v>38</v>
      </c>
      <c r="F37" s="5">
        <v>3.26</v>
      </c>
      <c r="G37" s="4" t="s">
        <v>39</v>
      </c>
      <c r="H37" s="6">
        <f t="shared" si="0"/>
        <v>2220.06</v>
      </c>
    </row>
    <row r="38" spans="1:8" x14ac:dyDescent="0.2">
      <c r="A38" s="2" t="s">
        <v>84</v>
      </c>
      <c r="B38" s="2" t="s">
        <v>18</v>
      </c>
      <c r="C38" s="2" t="s">
        <v>46</v>
      </c>
      <c r="D38" s="3">
        <v>4640</v>
      </c>
      <c r="E38" s="4" t="s">
        <v>20</v>
      </c>
      <c r="F38" s="5">
        <v>3.05</v>
      </c>
      <c r="G38" s="4" t="s">
        <v>21</v>
      </c>
      <c r="H38" s="6">
        <f t="shared" si="0"/>
        <v>14152</v>
      </c>
    </row>
    <row r="39" spans="1:8" x14ac:dyDescent="0.2">
      <c r="A39" s="2" t="s">
        <v>85</v>
      </c>
      <c r="B39" s="2" t="s">
        <v>18</v>
      </c>
      <c r="C39" s="2" t="s">
        <v>86</v>
      </c>
      <c r="D39" s="3">
        <v>1683</v>
      </c>
      <c r="E39" s="4" t="s">
        <v>72</v>
      </c>
      <c r="F39" s="5">
        <v>8737.6200000000008</v>
      </c>
      <c r="G39" s="4" t="s">
        <v>73</v>
      </c>
      <c r="H39" s="6">
        <f t="shared" si="0"/>
        <v>14705414.460000001</v>
      </c>
    </row>
    <row r="40" spans="1:8" x14ac:dyDescent="0.2">
      <c r="A40" s="2" t="s">
        <v>87</v>
      </c>
      <c r="B40" s="2" t="s">
        <v>18</v>
      </c>
      <c r="C40" s="2" t="s">
        <v>57</v>
      </c>
      <c r="D40" s="3">
        <v>1965</v>
      </c>
      <c r="E40" s="4" t="s">
        <v>20</v>
      </c>
      <c r="F40" s="5">
        <v>0.71</v>
      </c>
      <c r="G40" s="4" t="s">
        <v>21</v>
      </c>
      <c r="H40" s="6">
        <f t="shared" si="0"/>
        <v>1395.1499999999999</v>
      </c>
    </row>
    <row r="41" spans="1:8" x14ac:dyDescent="0.2">
      <c r="A41" s="2" t="s">
        <v>88</v>
      </c>
      <c r="B41" s="2" t="s">
        <v>18</v>
      </c>
      <c r="C41" s="2" t="s">
        <v>89</v>
      </c>
      <c r="D41" s="3">
        <v>2467</v>
      </c>
      <c r="E41" s="4" t="s">
        <v>30</v>
      </c>
      <c r="F41" s="5">
        <v>2.35</v>
      </c>
      <c r="G41" s="4" t="s">
        <v>31</v>
      </c>
      <c r="H41" s="6">
        <f t="shared" si="0"/>
        <v>5797.45</v>
      </c>
    </row>
    <row r="42" spans="1:8" x14ac:dyDescent="0.2">
      <c r="A42" s="2" t="s">
        <v>90</v>
      </c>
      <c r="B42" s="2" t="s">
        <v>18</v>
      </c>
      <c r="C42" s="2" t="s">
        <v>27</v>
      </c>
      <c r="D42" s="3">
        <v>86</v>
      </c>
      <c r="E42" s="4" t="s">
        <v>20</v>
      </c>
      <c r="F42" s="5">
        <v>1.75</v>
      </c>
      <c r="G42" s="4" t="s">
        <v>21</v>
      </c>
      <c r="H42" s="6">
        <f t="shared" si="0"/>
        <v>150.5</v>
      </c>
    </row>
    <row r="43" spans="1:8" x14ac:dyDescent="0.2">
      <c r="A43" s="2" t="s">
        <v>91</v>
      </c>
      <c r="B43" s="2" t="s">
        <v>18</v>
      </c>
      <c r="C43" s="2" t="s">
        <v>46</v>
      </c>
      <c r="D43" s="3">
        <v>829</v>
      </c>
      <c r="E43" s="4" t="s">
        <v>20</v>
      </c>
      <c r="F43" s="5">
        <v>2.15</v>
      </c>
      <c r="G43" s="4" t="s">
        <v>21</v>
      </c>
      <c r="H43" s="6">
        <f t="shared" si="0"/>
        <v>1782.35</v>
      </c>
    </row>
    <row r="44" spans="1:8" x14ac:dyDescent="0.2">
      <c r="A44" s="2" t="s">
        <v>92</v>
      </c>
      <c r="B44" s="2" t="s">
        <v>18</v>
      </c>
      <c r="C44" s="2" t="s">
        <v>44</v>
      </c>
      <c r="D44" s="3">
        <v>4154</v>
      </c>
      <c r="E44" s="4" t="s">
        <v>24</v>
      </c>
      <c r="F44" s="5">
        <v>1.0900000000000001</v>
      </c>
      <c r="G44" s="4" t="s">
        <v>25</v>
      </c>
      <c r="H44" s="6">
        <f t="shared" si="0"/>
        <v>4527.8600000000006</v>
      </c>
    </row>
    <row r="45" spans="1:8" x14ac:dyDescent="0.2">
      <c r="A45" s="2" t="s">
        <v>93</v>
      </c>
      <c r="B45" s="2" t="s">
        <v>18</v>
      </c>
      <c r="C45" s="2" t="s">
        <v>19</v>
      </c>
      <c r="D45" s="3">
        <v>573</v>
      </c>
      <c r="E45" s="4" t="s">
        <v>20</v>
      </c>
      <c r="F45" s="5">
        <v>1.63</v>
      </c>
      <c r="G45" s="4" t="s">
        <v>21</v>
      </c>
      <c r="H45" s="6">
        <f t="shared" si="0"/>
        <v>933.9899999999999</v>
      </c>
    </row>
    <row r="46" spans="1:8" x14ac:dyDescent="0.2">
      <c r="A46" s="2" t="s">
        <v>94</v>
      </c>
      <c r="B46" s="2" t="s">
        <v>18</v>
      </c>
      <c r="C46" s="2" t="s">
        <v>19</v>
      </c>
      <c r="D46" s="3">
        <v>2344</v>
      </c>
      <c r="E46" s="4" t="s">
        <v>20</v>
      </c>
      <c r="F46" s="5">
        <v>1.19</v>
      </c>
      <c r="G46" s="4" t="s">
        <v>21</v>
      </c>
      <c r="H46" s="6">
        <f t="shared" si="0"/>
        <v>2789.3599999999997</v>
      </c>
    </row>
    <row r="47" spans="1:8" x14ac:dyDescent="0.2">
      <c r="A47" s="2" t="s">
        <v>95</v>
      </c>
      <c r="B47" s="2" t="s">
        <v>18</v>
      </c>
      <c r="C47" s="2" t="s">
        <v>29</v>
      </c>
      <c r="D47" s="3">
        <v>2488</v>
      </c>
      <c r="E47" s="4" t="s">
        <v>30</v>
      </c>
      <c r="F47" s="5">
        <v>1.73</v>
      </c>
      <c r="G47" s="4" t="s">
        <v>31</v>
      </c>
      <c r="H47" s="6">
        <f t="shared" si="0"/>
        <v>4304.24</v>
      </c>
    </row>
    <row r="48" spans="1:8" x14ac:dyDescent="0.2">
      <c r="A48" s="2" t="s">
        <v>96</v>
      </c>
      <c r="B48" s="2" t="s">
        <v>18</v>
      </c>
      <c r="C48" s="2" t="s">
        <v>78</v>
      </c>
      <c r="D48" s="3">
        <v>74</v>
      </c>
      <c r="E48" s="4" t="s">
        <v>38</v>
      </c>
      <c r="F48" s="5">
        <v>2.64</v>
      </c>
      <c r="G48" s="4" t="s">
        <v>39</v>
      </c>
      <c r="H48" s="6">
        <f t="shared" si="0"/>
        <v>195.36</v>
      </c>
    </row>
    <row r="49" spans="1:8" x14ac:dyDescent="0.2">
      <c r="A49" s="2" t="s">
        <v>97</v>
      </c>
      <c r="B49" s="2" t="s">
        <v>18</v>
      </c>
      <c r="C49" s="2" t="s">
        <v>29</v>
      </c>
      <c r="D49" s="3">
        <v>2462</v>
      </c>
      <c r="E49" s="4" t="s">
        <v>30</v>
      </c>
      <c r="F49" s="5">
        <v>2.12</v>
      </c>
      <c r="G49" s="4" t="s">
        <v>31</v>
      </c>
      <c r="H49" s="6">
        <f t="shared" si="0"/>
        <v>5219.4400000000005</v>
      </c>
    </row>
    <row r="50" spans="1:8" x14ac:dyDescent="0.2">
      <c r="A50" s="2" t="s">
        <v>98</v>
      </c>
      <c r="B50" s="2" t="s">
        <v>18</v>
      </c>
      <c r="C50" s="2" t="s">
        <v>50</v>
      </c>
      <c r="D50" s="3">
        <v>1110</v>
      </c>
      <c r="E50" s="4" t="s">
        <v>20</v>
      </c>
      <c r="F50" s="5">
        <v>0.86</v>
      </c>
      <c r="G50" s="4" t="s">
        <v>21</v>
      </c>
      <c r="H50" s="6">
        <f t="shared" si="0"/>
        <v>954.6</v>
      </c>
    </row>
    <row r="51" spans="1:8" x14ac:dyDescent="0.2">
      <c r="A51" s="2" t="s">
        <v>99</v>
      </c>
      <c r="B51" s="2" t="s">
        <v>18</v>
      </c>
      <c r="C51" s="2" t="s">
        <v>50</v>
      </c>
      <c r="D51" s="3">
        <v>4542</v>
      </c>
      <c r="E51" s="4" t="s">
        <v>20</v>
      </c>
      <c r="F51" s="5">
        <v>0.79</v>
      </c>
      <c r="G51" s="4" t="s">
        <v>21</v>
      </c>
      <c r="H51" s="6">
        <f t="shared" si="0"/>
        <v>3588.1800000000003</v>
      </c>
    </row>
    <row r="52" spans="1:8" x14ac:dyDescent="0.2">
      <c r="A52" s="2" t="s">
        <v>100</v>
      </c>
      <c r="B52" s="2" t="s">
        <v>18</v>
      </c>
      <c r="C52" s="2" t="s">
        <v>71</v>
      </c>
      <c r="D52" s="3">
        <v>4964</v>
      </c>
      <c r="E52" s="4" t="s">
        <v>72</v>
      </c>
      <c r="F52" s="5">
        <v>2526.38</v>
      </c>
      <c r="G52" s="4" t="s">
        <v>73</v>
      </c>
      <c r="H52" s="6">
        <f t="shared" si="0"/>
        <v>12540950.32</v>
      </c>
    </row>
    <row r="53" spans="1:8" x14ac:dyDescent="0.2">
      <c r="A53" s="2" t="s">
        <v>101</v>
      </c>
      <c r="B53" s="2" t="s">
        <v>102</v>
      </c>
      <c r="C53" s="2" t="s">
        <v>57</v>
      </c>
      <c r="D53" s="3">
        <v>1677</v>
      </c>
      <c r="E53" s="4" t="s">
        <v>20</v>
      </c>
      <c r="F53" s="5">
        <v>0.87</v>
      </c>
      <c r="G53" s="4" t="s">
        <v>21</v>
      </c>
      <c r="H53" s="6">
        <f t="shared" si="0"/>
        <v>1458.99</v>
      </c>
    </row>
    <row r="54" spans="1:8" x14ac:dyDescent="0.2">
      <c r="A54" s="2" t="s">
        <v>103</v>
      </c>
      <c r="B54" s="2" t="s">
        <v>102</v>
      </c>
      <c r="C54" s="2" t="s">
        <v>86</v>
      </c>
      <c r="D54" s="3">
        <v>4150</v>
      </c>
      <c r="E54" s="4" t="s">
        <v>72</v>
      </c>
      <c r="F54" s="5">
        <v>8483.94</v>
      </c>
      <c r="G54" s="4" t="s">
        <v>73</v>
      </c>
      <c r="H54" s="6">
        <f t="shared" si="0"/>
        <v>35208351</v>
      </c>
    </row>
    <row r="55" spans="1:8" x14ac:dyDescent="0.2">
      <c r="A55" s="2" t="s">
        <v>104</v>
      </c>
      <c r="B55" s="2" t="s">
        <v>102</v>
      </c>
      <c r="C55" s="2" t="s">
        <v>37</v>
      </c>
      <c r="D55" s="3">
        <v>766</v>
      </c>
      <c r="E55" s="4" t="s">
        <v>38</v>
      </c>
      <c r="F55" s="5">
        <v>3.9</v>
      </c>
      <c r="G55" s="4" t="s">
        <v>39</v>
      </c>
      <c r="H55" s="6">
        <f t="shared" si="0"/>
        <v>2987.4</v>
      </c>
    </row>
    <row r="56" spans="1:8" x14ac:dyDescent="0.2">
      <c r="A56" s="2" t="s">
        <v>105</v>
      </c>
      <c r="B56" s="2" t="s">
        <v>102</v>
      </c>
      <c r="C56" s="2" t="s">
        <v>86</v>
      </c>
      <c r="D56" s="3">
        <v>371</v>
      </c>
      <c r="E56" s="4" t="s">
        <v>72</v>
      </c>
      <c r="F56" s="5">
        <v>7804.96</v>
      </c>
      <c r="G56" s="4" t="s">
        <v>73</v>
      </c>
      <c r="H56" s="6">
        <f t="shared" si="0"/>
        <v>2895640.16</v>
      </c>
    </row>
    <row r="57" spans="1:8" x14ac:dyDescent="0.2">
      <c r="A57" s="2" t="s">
        <v>106</v>
      </c>
      <c r="B57" s="2" t="s">
        <v>102</v>
      </c>
      <c r="C57" s="2" t="s">
        <v>89</v>
      </c>
      <c r="D57" s="3">
        <v>2155</v>
      </c>
      <c r="E57" s="4" t="s">
        <v>30</v>
      </c>
      <c r="F57" s="5">
        <v>1.99</v>
      </c>
      <c r="G57" s="4" t="s">
        <v>31</v>
      </c>
      <c r="H57" s="6">
        <f t="shared" si="0"/>
        <v>4288.45</v>
      </c>
    </row>
    <row r="58" spans="1:8" x14ac:dyDescent="0.2">
      <c r="A58" s="2" t="s">
        <v>107</v>
      </c>
      <c r="B58" s="2" t="s">
        <v>102</v>
      </c>
      <c r="C58" s="2" t="s">
        <v>23</v>
      </c>
      <c r="D58" s="3">
        <v>4529</v>
      </c>
      <c r="E58" s="4" t="s">
        <v>24</v>
      </c>
      <c r="F58" s="5">
        <v>16.23</v>
      </c>
      <c r="G58" s="4" t="s">
        <v>25</v>
      </c>
      <c r="H58" s="6">
        <f t="shared" si="0"/>
        <v>73505.67</v>
      </c>
    </row>
    <row r="59" spans="1:8" x14ac:dyDescent="0.2">
      <c r="A59" s="2" t="s">
        <v>108</v>
      </c>
      <c r="B59" s="2" t="s">
        <v>102</v>
      </c>
      <c r="C59" s="2" t="s">
        <v>29</v>
      </c>
      <c r="D59" s="3">
        <v>89</v>
      </c>
      <c r="E59" s="4" t="s">
        <v>30</v>
      </c>
      <c r="F59" s="5">
        <v>1.1299999999999999</v>
      </c>
      <c r="G59" s="4" t="s">
        <v>31</v>
      </c>
      <c r="H59" s="6">
        <f t="shared" si="0"/>
        <v>100.57</v>
      </c>
    </row>
    <row r="60" spans="1:8" x14ac:dyDescent="0.2">
      <c r="A60" s="2" t="s">
        <v>109</v>
      </c>
      <c r="B60" s="2" t="s">
        <v>102</v>
      </c>
      <c r="C60" s="2" t="s">
        <v>89</v>
      </c>
      <c r="D60" s="3">
        <v>4479</v>
      </c>
      <c r="E60" s="4" t="s">
        <v>30</v>
      </c>
      <c r="F60" s="5">
        <v>1.84</v>
      </c>
      <c r="G60" s="4" t="s">
        <v>31</v>
      </c>
      <c r="H60" s="6">
        <f t="shared" si="0"/>
        <v>8241.36</v>
      </c>
    </row>
    <row r="61" spans="1:8" x14ac:dyDescent="0.2">
      <c r="A61" s="2" t="s">
        <v>110</v>
      </c>
      <c r="B61" s="2" t="s">
        <v>102</v>
      </c>
      <c r="C61" s="2" t="s">
        <v>19</v>
      </c>
      <c r="D61" s="3">
        <v>4781</v>
      </c>
      <c r="E61" s="4" t="s">
        <v>20</v>
      </c>
      <c r="F61" s="5">
        <v>1.43</v>
      </c>
      <c r="G61" s="4" t="s">
        <v>21</v>
      </c>
      <c r="H61" s="6">
        <f t="shared" si="0"/>
        <v>6836.83</v>
      </c>
    </row>
    <row r="62" spans="1:8" x14ac:dyDescent="0.2">
      <c r="A62" s="2" t="s">
        <v>111</v>
      </c>
      <c r="B62" s="2" t="s">
        <v>102</v>
      </c>
      <c r="C62" s="2" t="s">
        <v>52</v>
      </c>
      <c r="D62" s="3">
        <v>1054</v>
      </c>
      <c r="E62" s="4" t="s">
        <v>53</v>
      </c>
      <c r="F62" s="5">
        <v>9.2100000000000009</v>
      </c>
      <c r="G62" s="4" t="s">
        <v>54</v>
      </c>
      <c r="H62" s="6">
        <f t="shared" si="0"/>
        <v>9707.34</v>
      </c>
    </row>
    <row r="63" spans="1:8" x14ac:dyDescent="0.2">
      <c r="A63" s="2" t="s">
        <v>112</v>
      </c>
      <c r="B63" s="2" t="s">
        <v>102</v>
      </c>
      <c r="C63" s="2" t="s">
        <v>19</v>
      </c>
      <c r="D63" s="3">
        <v>336</v>
      </c>
      <c r="E63" s="4" t="s">
        <v>20</v>
      </c>
      <c r="F63" s="5">
        <v>1.64</v>
      </c>
      <c r="G63" s="4" t="s">
        <v>21</v>
      </c>
      <c r="H63" s="6">
        <f t="shared" si="0"/>
        <v>551.04</v>
      </c>
    </row>
    <row r="64" spans="1:8" x14ac:dyDescent="0.2">
      <c r="A64" s="2" t="s">
        <v>113</v>
      </c>
      <c r="B64" s="2" t="s">
        <v>102</v>
      </c>
      <c r="C64" s="2" t="s">
        <v>44</v>
      </c>
      <c r="D64" s="3">
        <v>2054</v>
      </c>
      <c r="E64" s="4" t="s">
        <v>24</v>
      </c>
      <c r="F64" s="5">
        <v>1.37</v>
      </c>
      <c r="G64" s="4" t="s">
        <v>25</v>
      </c>
      <c r="H64" s="6">
        <f t="shared" si="0"/>
        <v>2813.98</v>
      </c>
    </row>
    <row r="65" spans="1:8" x14ac:dyDescent="0.2">
      <c r="A65" s="2" t="s">
        <v>114</v>
      </c>
      <c r="B65" s="2" t="s">
        <v>102</v>
      </c>
      <c r="C65" s="2" t="s">
        <v>19</v>
      </c>
      <c r="D65" s="3">
        <v>4596</v>
      </c>
      <c r="E65" s="4" t="s">
        <v>20</v>
      </c>
      <c r="F65" s="5">
        <v>1.63</v>
      </c>
      <c r="G65" s="4" t="s">
        <v>21</v>
      </c>
      <c r="H65" s="6">
        <f t="shared" si="0"/>
        <v>7491.48</v>
      </c>
    </row>
    <row r="66" spans="1:8" x14ac:dyDescent="0.2">
      <c r="A66" s="2" t="s">
        <v>115</v>
      </c>
      <c r="B66" s="2" t="s">
        <v>102</v>
      </c>
      <c r="C66" s="2" t="s">
        <v>52</v>
      </c>
      <c r="D66" s="3">
        <v>1276</v>
      </c>
      <c r="E66" s="4" t="s">
        <v>53</v>
      </c>
      <c r="F66" s="5">
        <v>13.63</v>
      </c>
      <c r="G66" s="4" t="s">
        <v>54</v>
      </c>
      <c r="H66" s="6">
        <f t="shared" ref="H66:H129" si="1">D66*F66</f>
        <v>17391.88</v>
      </c>
    </row>
    <row r="67" spans="1:8" x14ac:dyDescent="0.2">
      <c r="A67" s="2" t="s">
        <v>116</v>
      </c>
      <c r="B67" s="2" t="s">
        <v>102</v>
      </c>
      <c r="C67" s="2" t="s">
        <v>42</v>
      </c>
      <c r="D67" s="3">
        <v>1341</v>
      </c>
      <c r="E67" s="4" t="s">
        <v>24</v>
      </c>
      <c r="F67" s="5">
        <v>6.43</v>
      </c>
      <c r="G67" s="4" t="s">
        <v>25</v>
      </c>
      <c r="H67" s="6">
        <f t="shared" si="1"/>
        <v>8622.6299999999992</v>
      </c>
    </row>
    <row r="68" spans="1:8" x14ac:dyDescent="0.2">
      <c r="A68" s="2" t="s">
        <v>117</v>
      </c>
      <c r="B68" s="2" t="s">
        <v>102</v>
      </c>
      <c r="C68" s="2" t="s">
        <v>118</v>
      </c>
      <c r="D68" s="3">
        <v>3387</v>
      </c>
      <c r="E68" s="4" t="s">
        <v>24</v>
      </c>
      <c r="F68" s="5">
        <v>0.42</v>
      </c>
      <c r="G68" s="4" t="s">
        <v>25</v>
      </c>
      <c r="H68" s="6">
        <f t="shared" si="1"/>
        <v>1422.54</v>
      </c>
    </row>
    <row r="69" spans="1:8" x14ac:dyDescent="0.2">
      <c r="A69" s="2" t="s">
        <v>119</v>
      </c>
      <c r="B69" s="2" t="s">
        <v>102</v>
      </c>
      <c r="C69" s="2" t="s">
        <v>57</v>
      </c>
      <c r="D69" s="3">
        <v>3382</v>
      </c>
      <c r="E69" s="4" t="s">
        <v>20</v>
      </c>
      <c r="F69" s="5">
        <v>0.92</v>
      </c>
      <c r="G69" s="4" t="s">
        <v>21</v>
      </c>
      <c r="H69" s="6">
        <f t="shared" si="1"/>
        <v>3111.44</v>
      </c>
    </row>
    <row r="70" spans="1:8" x14ac:dyDescent="0.2">
      <c r="A70" s="2" t="s">
        <v>120</v>
      </c>
      <c r="B70" s="2" t="s">
        <v>102</v>
      </c>
      <c r="C70" s="2" t="s">
        <v>42</v>
      </c>
      <c r="D70" s="3">
        <v>2195</v>
      </c>
      <c r="E70" s="4" t="s">
        <v>24</v>
      </c>
      <c r="F70" s="5">
        <v>3.98</v>
      </c>
      <c r="G70" s="4" t="s">
        <v>25</v>
      </c>
      <c r="H70" s="6">
        <f t="shared" si="1"/>
        <v>8736.1</v>
      </c>
    </row>
    <row r="71" spans="1:8" x14ac:dyDescent="0.2">
      <c r="A71" s="2" t="s">
        <v>121</v>
      </c>
      <c r="B71" s="2" t="s">
        <v>102</v>
      </c>
      <c r="C71" s="2" t="s">
        <v>50</v>
      </c>
      <c r="D71" s="3">
        <v>3143</v>
      </c>
      <c r="E71" s="4" t="s">
        <v>20</v>
      </c>
      <c r="F71" s="5">
        <v>1.22</v>
      </c>
      <c r="G71" s="4" t="s">
        <v>21</v>
      </c>
      <c r="H71" s="6">
        <f t="shared" si="1"/>
        <v>3834.46</v>
      </c>
    </row>
    <row r="72" spans="1:8" x14ac:dyDescent="0.2">
      <c r="A72" s="2" t="s">
        <v>122</v>
      </c>
      <c r="B72" s="2" t="s">
        <v>102</v>
      </c>
      <c r="C72" s="2" t="s">
        <v>48</v>
      </c>
      <c r="D72" s="3">
        <v>1832</v>
      </c>
      <c r="E72" s="4" t="s">
        <v>24</v>
      </c>
      <c r="F72" s="5">
        <v>0.08</v>
      </c>
      <c r="G72" s="4" t="s">
        <v>25</v>
      </c>
      <c r="H72" s="6">
        <f t="shared" si="1"/>
        <v>146.56</v>
      </c>
    </row>
    <row r="73" spans="1:8" x14ac:dyDescent="0.2">
      <c r="A73" s="2" t="s">
        <v>123</v>
      </c>
      <c r="B73" s="2" t="s">
        <v>102</v>
      </c>
      <c r="C73" s="2" t="s">
        <v>23</v>
      </c>
      <c r="D73" s="3">
        <v>2874</v>
      </c>
      <c r="E73" s="4" t="s">
        <v>24</v>
      </c>
      <c r="F73" s="5">
        <v>13.83</v>
      </c>
      <c r="G73" s="4" t="s">
        <v>25</v>
      </c>
      <c r="H73" s="6">
        <f t="shared" si="1"/>
        <v>39747.42</v>
      </c>
    </row>
    <row r="74" spans="1:8" x14ac:dyDescent="0.2">
      <c r="A74" s="2" t="s">
        <v>124</v>
      </c>
      <c r="B74" s="2" t="s">
        <v>102</v>
      </c>
      <c r="C74" s="2" t="s">
        <v>42</v>
      </c>
      <c r="D74" s="3">
        <v>1836</v>
      </c>
      <c r="E74" s="4" t="s">
        <v>24</v>
      </c>
      <c r="F74" s="5">
        <v>3.57</v>
      </c>
      <c r="G74" s="4" t="s">
        <v>25</v>
      </c>
      <c r="H74" s="6">
        <f t="shared" si="1"/>
        <v>6554.5199999999995</v>
      </c>
    </row>
    <row r="75" spans="1:8" x14ac:dyDescent="0.2">
      <c r="A75" s="2" t="s">
        <v>125</v>
      </c>
      <c r="B75" s="2" t="s">
        <v>102</v>
      </c>
      <c r="C75" s="2" t="s">
        <v>44</v>
      </c>
      <c r="D75" s="3">
        <v>3274</v>
      </c>
      <c r="E75" s="4" t="s">
        <v>24</v>
      </c>
      <c r="F75" s="5">
        <v>1.1299999999999999</v>
      </c>
      <c r="G75" s="4" t="s">
        <v>25</v>
      </c>
      <c r="H75" s="6">
        <f t="shared" si="1"/>
        <v>3699.6199999999994</v>
      </c>
    </row>
    <row r="76" spans="1:8" x14ac:dyDescent="0.2">
      <c r="A76" s="2" t="s">
        <v>126</v>
      </c>
      <c r="B76" s="2" t="s">
        <v>102</v>
      </c>
      <c r="C76" s="2" t="s">
        <v>27</v>
      </c>
      <c r="D76" s="3">
        <v>2296</v>
      </c>
      <c r="E76" s="4" t="s">
        <v>20</v>
      </c>
      <c r="F76" s="5">
        <v>1.62</v>
      </c>
      <c r="G76" s="4" t="s">
        <v>21</v>
      </c>
      <c r="H76" s="6">
        <f t="shared" si="1"/>
        <v>3719.5200000000004</v>
      </c>
    </row>
    <row r="77" spans="1:8" x14ac:dyDescent="0.2">
      <c r="A77" s="2" t="s">
        <v>127</v>
      </c>
      <c r="B77" s="2" t="s">
        <v>102</v>
      </c>
      <c r="C77" s="2" t="s">
        <v>78</v>
      </c>
      <c r="D77" s="3">
        <v>3284</v>
      </c>
      <c r="E77" s="4" t="s">
        <v>38</v>
      </c>
      <c r="F77" s="5">
        <v>2.66</v>
      </c>
      <c r="G77" s="4" t="s">
        <v>39</v>
      </c>
      <c r="H77" s="6">
        <f t="shared" si="1"/>
        <v>8735.44</v>
      </c>
    </row>
    <row r="78" spans="1:8" x14ac:dyDescent="0.2">
      <c r="A78" s="2" t="s">
        <v>128</v>
      </c>
      <c r="B78" s="2" t="s">
        <v>102</v>
      </c>
      <c r="C78" s="2" t="s">
        <v>29</v>
      </c>
      <c r="D78" s="3">
        <v>2722</v>
      </c>
      <c r="E78" s="4" t="s">
        <v>30</v>
      </c>
      <c r="F78" s="5">
        <v>2.13</v>
      </c>
      <c r="G78" s="4" t="s">
        <v>31</v>
      </c>
      <c r="H78" s="6">
        <f t="shared" si="1"/>
        <v>5797.86</v>
      </c>
    </row>
    <row r="79" spans="1:8" x14ac:dyDescent="0.2">
      <c r="A79" s="2" t="s">
        <v>129</v>
      </c>
      <c r="B79" s="2" t="s">
        <v>102</v>
      </c>
      <c r="C79" s="2" t="s">
        <v>50</v>
      </c>
      <c r="D79" s="3">
        <v>2149</v>
      </c>
      <c r="E79" s="4" t="s">
        <v>20</v>
      </c>
      <c r="F79" s="5">
        <v>0.81</v>
      </c>
      <c r="G79" s="4" t="s">
        <v>21</v>
      </c>
      <c r="H79" s="6">
        <f t="shared" si="1"/>
        <v>1740.69</v>
      </c>
    </row>
    <row r="80" spans="1:8" x14ac:dyDescent="0.2">
      <c r="A80" s="2" t="s">
        <v>130</v>
      </c>
      <c r="B80" s="2" t="s">
        <v>102</v>
      </c>
      <c r="C80" s="2" t="s">
        <v>86</v>
      </c>
      <c r="D80" s="3">
        <v>323</v>
      </c>
      <c r="E80" s="4" t="s">
        <v>72</v>
      </c>
      <c r="F80" s="5">
        <v>7951.76</v>
      </c>
      <c r="G80" s="4" t="s">
        <v>73</v>
      </c>
      <c r="H80" s="6">
        <f t="shared" si="1"/>
        <v>2568418.48</v>
      </c>
    </row>
    <row r="81" spans="1:8" x14ac:dyDescent="0.2">
      <c r="A81" s="2" t="s">
        <v>131</v>
      </c>
      <c r="B81" s="2" t="s">
        <v>102</v>
      </c>
      <c r="C81" s="2" t="s">
        <v>52</v>
      </c>
      <c r="D81" s="3">
        <v>2841</v>
      </c>
      <c r="E81" s="4" t="s">
        <v>53</v>
      </c>
      <c r="F81" s="5">
        <v>12.64</v>
      </c>
      <c r="G81" s="4" t="s">
        <v>54</v>
      </c>
      <c r="H81" s="6">
        <f t="shared" si="1"/>
        <v>35910.240000000005</v>
      </c>
    </row>
    <row r="82" spans="1:8" x14ac:dyDescent="0.2">
      <c r="A82" s="2" t="s">
        <v>132</v>
      </c>
      <c r="B82" s="2" t="s">
        <v>102</v>
      </c>
      <c r="C82" s="2" t="s">
        <v>57</v>
      </c>
      <c r="D82" s="3">
        <v>3584</v>
      </c>
      <c r="E82" s="4" t="s">
        <v>20</v>
      </c>
      <c r="F82" s="5">
        <v>0.84</v>
      </c>
      <c r="G82" s="4" t="s">
        <v>21</v>
      </c>
      <c r="H82" s="6">
        <f t="shared" si="1"/>
        <v>3010.56</v>
      </c>
    </row>
    <row r="83" spans="1:8" x14ac:dyDescent="0.2">
      <c r="A83" s="2" t="s">
        <v>133</v>
      </c>
      <c r="B83" s="2" t="s">
        <v>102</v>
      </c>
      <c r="C83" s="2" t="s">
        <v>78</v>
      </c>
      <c r="D83" s="3">
        <v>957</v>
      </c>
      <c r="E83" s="4" t="s">
        <v>38</v>
      </c>
      <c r="F83" s="5">
        <v>2.15</v>
      </c>
      <c r="G83" s="4" t="s">
        <v>39</v>
      </c>
      <c r="H83" s="6">
        <f t="shared" si="1"/>
        <v>2057.5499999999997</v>
      </c>
    </row>
    <row r="84" spans="1:8" x14ac:dyDescent="0.2">
      <c r="A84" s="2" t="s">
        <v>134</v>
      </c>
      <c r="B84" s="2" t="s">
        <v>135</v>
      </c>
      <c r="C84" s="2" t="s">
        <v>46</v>
      </c>
      <c r="D84" s="3">
        <v>1567</v>
      </c>
      <c r="E84" s="4" t="s">
        <v>20</v>
      </c>
      <c r="F84" s="5">
        <v>2.5099999999999998</v>
      </c>
      <c r="G84" s="4" t="s">
        <v>21</v>
      </c>
      <c r="H84" s="6">
        <f t="shared" si="1"/>
        <v>3933.1699999999996</v>
      </c>
    </row>
    <row r="85" spans="1:8" x14ac:dyDescent="0.2">
      <c r="A85" s="2" t="s">
        <v>136</v>
      </c>
      <c r="B85" s="2" t="s">
        <v>135</v>
      </c>
      <c r="C85" s="2" t="s">
        <v>52</v>
      </c>
      <c r="D85" s="3">
        <v>23</v>
      </c>
      <c r="E85" s="4" t="s">
        <v>53</v>
      </c>
      <c r="F85" s="5">
        <v>11.6</v>
      </c>
      <c r="G85" s="4" t="s">
        <v>54</v>
      </c>
      <c r="H85" s="6">
        <f t="shared" si="1"/>
        <v>266.8</v>
      </c>
    </row>
    <row r="86" spans="1:8" x14ac:dyDescent="0.2">
      <c r="A86" s="2" t="s">
        <v>137</v>
      </c>
      <c r="B86" s="2" t="s">
        <v>135</v>
      </c>
      <c r="C86" s="2" t="s">
        <v>29</v>
      </c>
      <c r="D86" s="3">
        <v>1624</v>
      </c>
      <c r="E86" s="4" t="s">
        <v>30</v>
      </c>
      <c r="F86" s="5">
        <v>1.44</v>
      </c>
      <c r="G86" s="4" t="s">
        <v>31</v>
      </c>
      <c r="H86" s="6">
        <f t="shared" si="1"/>
        <v>2338.56</v>
      </c>
    </row>
    <row r="87" spans="1:8" x14ac:dyDescent="0.2">
      <c r="A87" s="2" t="s">
        <v>138</v>
      </c>
      <c r="B87" s="2" t="s">
        <v>135</v>
      </c>
      <c r="C87" s="2" t="s">
        <v>27</v>
      </c>
      <c r="D87" s="3">
        <v>2714</v>
      </c>
      <c r="E87" s="4" t="s">
        <v>20</v>
      </c>
      <c r="F87" s="5">
        <v>1.95</v>
      </c>
      <c r="G87" s="4" t="s">
        <v>21</v>
      </c>
      <c r="H87" s="6">
        <f t="shared" si="1"/>
        <v>5292.3</v>
      </c>
    </row>
    <row r="88" spans="1:8" x14ac:dyDescent="0.2">
      <c r="A88" s="2" t="s">
        <v>139</v>
      </c>
      <c r="B88" s="2" t="s">
        <v>135</v>
      </c>
      <c r="C88" s="2" t="s">
        <v>50</v>
      </c>
      <c r="D88" s="3">
        <v>2470</v>
      </c>
      <c r="E88" s="4" t="s">
        <v>20</v>
      </c>
      <c r="F88" s="5">
        <v>1</v>
      </c>
      <c r="G88" s="4" t="s">
        <v>21</v>
      </c>
      <c r="H88" s="6">
        <f t="shared" si="1"/>
        <v>2470</v>
      </c>
    </row>
    <row r="89" spans="1:8" x14ac:dyDescent="0.2">
      <c r="A89" s="2" t="s">
        <v>140</v>
      </c>
      <c r="B89" s="2" t="s">
        <v>135</v>
      </c>
      <c r="C89" s="2" t="s">
        <v>52</v>
      </c>
      <c r="D89" s="3">
        <v>2682</v>
      </c>
      <c r="E89" s="4" t="s">
        <v>53</v>
      </c>
      <c r="F89" s="5">
        <v>11.01</v>
      </c>
      <c r="G89" s="4" t="s">
        <v>54</v>
      </c>
      <c r="H89" s="6">
        <f t="shared" si="1"/>
        <v>29528.82</v>
      </c>
    </row>
    <row r="90" spans="1:8" x14ac:dyDescent="0.2">
      <c r="A90" s="2" t="s">
        <v>141</v>
      </c>
      <c r="B90" s="2" t="s">
        <v>135</v>
      </c>
      <c r="C90" s="2" t="s">
        <v>71</v>
      </c>
      <c r="D90" s="3">
        <v>4551</v>
      </c>
      <c r="E90" s="4" t="s">
        <v>72</v>
      </c>
      <c r="F90" s="5">
        <v>2476.37</v>
      </c>
      <c r="G90" s="4" t="s">
        <v>73</v>
      </c>
      <c r="H90" s="6">
        <f t="shared" si="1"/>
        <v>11269959.869999999</v>
      </c>
    </row>
    <row r="91" spans="1:8" x14ac:dyDescent="0.2">
      <c r="A91" s="2" t="s">
        <v>142</v>
      </c>
      <c r="B91" s="2" t="s">
        <v>135</v>
      </c>
      <c r="C91" s="2" t="s">
        <v>52</v>
      </c>
      <c r="D91" s="3">
        <v>3115</v>
      </c>
      <c r="E91" s="4" t="s">
        <v>53</v>
      </c>
      <c r="F91" s="5">
        <v>12.39</v>
      </c>
      <c r="G91" s="4" t="s">
        <v>54</v>
      </c>
      <c r="H91" s="6">
        <f t="shared" si="1"/>
        <v>38594.85</v>
      </c>
    </row>
    <row r="92" spans="1:8" x14ac:dyDescent="0.2">
      <c r="A92" s="2" t="s">
        <v>143</v>
      </c>
      <c r="B92" s="2" t="s">
        <v>135</v>
      </c>
      <c r="C92" s="2" t="s">
        <v>118</v>
      </c>
      <c r="D92" s="3">
        <v>4672</v>
      </c>
      <c r="E92" s="4" t="s">
        <v>24</v>
      </c>
      <c r="F92" s="5">
        <v>0.61</v>
      </c>
      <c r="G92" s="4" t="s">
        <v>25</v>
      </c>
      <c r="H92" s="6">
        <f t="shared" si="1"/>
        <v>2849.92</v>
      </c>
    </row>
    <row r="93" spans="1:8" x14ac:dyDescent="0.2">
      <c r="A93" s="2" t="s">
        <v>144</v>
      </c>
      <c r="B93" s="2" t="s">
        <v>135</v>
      </c>
      <c r="C93" s="2" t="s">
        <v>29</v>
      </c>
      <c r="D93" s="3">
        <v>13</v>
      </c>
      <c r="E93" s="4" t="s">
        <v>30</v>
      </c>
      <c r="F93" s="5">
        <v>1.36</v>
      </c>
      <c r="G93" s="4" t="s">
        <v>31</v>
      </c>
      <c r="H93" s="6">
        <f t="shared" si="1"/>
        <v>17.68</v>
      </c>
    </row>
    <row r="94" spans="1:8" x14ac:dyDescent="0.2">
      <c r="A94" s="2" t="s">
        <v>145</v>
      </c>
      <c r="B94" s="2" t="s">
        <v>135</v>
      </c>
      <c r="C94" s="2" t="s">
        <v>44</v>
      </c>
      <c r="D94" s="3">
        <v>3531</v>
      </c>
      <c r="E94" s="4" t="s">
        <v>24</v>
      </c>
      <c r="F94" s="5">
        <v>1.45</v>
      </c>
      <c r="G94" s="4" t="s">
        <v>25</v>
      </c>
      <c r="H94" s="6">
        <f t="shared" si="1"/>
        <v>5119.95</v>
      </c>
    </row>
    <row r="95" spans="1:8" x14ac:dyDescent="0.2">
      <c r="A95" s="2" t="s">
        <v>146</v>
      </c>
      <c r="B95" s="2" t="s">
        <v>135</v>
      </c>
      <c r="C95" s="2" t="s">
        <v>147</v>
      </c>
      <c r="D95" s="3">
        <v>2649</v>
      </c>
      <c r="E95" s="4" t="s">
        <v>53</v>
      </c>
      <c r="F95" s="5">
        <v>11.72</v>
      </c>
      <c r="G95" s="4" t="s">
        <v>54</v>
      </c>
      <c r="H95" s="6">
        <f t="shared" si="1"/>
        <v>31046.280000000002</v>
      </c>
    </row>
    <row r="96" spans="1:8" x14ac:dyDescent="0.2">
      <c r="A96" s="2" t="s">
        <v>148</v>
      </c>
      <c r="B96" s="2" t="s">
        <v>135</v>
      </c>
      <c r="C96" s="2" t="s">
        <v>23</v>
      </c>
      <c r="D96" s="3">
        <v>1760</v>
      </c>
      <c r="E96" s="4" t="s">
        <v>24</v>
      </c>
      <c r="F96" s="5">
        <v>15.07</v>
      </c>
      <c r="G96" s="4" t="s">
        <v>25</v>
      </c>
      <c r="H96" s="6">
        <f t="shared" si="1"/>
        <v>26523.200000000001</v>
      </c>
    </row>
    <row r="97" spans="1:8" x14ac:dyDescent="0.2">
      <c r="A97" s="2" t="s">
        <v>149</v>
      </c>
      <c r="B97" s="2" t="s">
        <v>135</v>
      </c>
      <c r="C97" s="2" t="s">
        <v>118</v>
      </c>
      <c r="D97" s="3">
        <v>704</v>
      </c>
      <c r="E97" s="4" t="s">
        <v>24</v>
      </c>
      <c r="F97" s="5">
        <v>0.6</v>
      </c>
      <c r="G97" s="4" t="s">
        <v>25</v>
      </c>
      <c r="H97" s="6">
        <f t="shared" si="1"/>
        <v>422.4</v>
      </c>
    </row>
    <row r="98" spans="1:8" x14ac:dyDescent="0.2">
      <c r="A98" s="2" t="s">
        <v>150</v>
      </c>
      <c r="B98" s="2" t="s">
        <v>135</v>
      </c>
      <c r="C98" s="2" t="s">
        <v>147</v>
      </c>
      <c r="D98" s="3">
        <v>2755</v>
      </c>
      <c r="E98" s="4" t="s">
        <v>53</v>
      </c>
      <c r="F98" s="5">
        <v>8.75</v>
      </c>
      <c r="G98" s="4" t="s">
        <v>54</v>
      </c>
      <c r="H98" s="6">
        <f t="shared" si="1"/>
        <v>24106.25</v>
      </c>
    </row>
    <row r="99" spans="1:8" x14ac:dyDescent="0.2">
      <c r="A99" s="2" t="s">
        <v>151</v>
      </c>
      <c r="B99" s="2" t="s">
        <v>135</v>
      </c>
      <c r="C99" s="2" t="s">
        <v>42</v>
      </c>
      <c r="D99" s="3">
        <v>2552</v>
      </c>
      <c r="E99" s="4" t="s">
        <v>24</v>
      </c>
      <c r="F99" s="5">
        <v>4.17</v>
      </c>
      <c r="G99" s="4" t="s">
        <v>25</v>
      </c>
      <c r="H99" s="6">
        <f t="shared" si="1"/>
        <v>10641.84</v>
      </c>
    </row>
    <row r="100" spans="1:8" x14ac:dyDescent="0.2">
      <c r="A100" s="2" t="s">
        <v>152</v>
      </c>
      <c r="B100" s="2" t="s">
        <v>135</v>
      </c>
      <c r="C100" s="2" t="s">
        <v>44</v>
      </c>
      <c r="D100" s="3">
        <v>1217</v>
      </c>
      <c r="E100" s="4" t="s">
        <v>24</v>
      </c>
      <c r="F100" s="5">
        <v>0.92</v>
      </c>
      <c r="G100" s="4" t="s">
        <v>25</v>
      </c>
      <c r="H100" s="6">
        <f t="shared" si="1"/>
        <v>1119.6400000000001</v>
      </c>
    </row>
    <row r="101" spans="1:8" x14ac:dyDescent="0.2">
      <c r="A101" s="2" t="s">
        <v>153</v>
      </c>
      <c r="B101" s="2" t="s">
        <v>135</v>
      </c>
      <c r="C101" s="2" t="s">
        <v>42</v>
      </c>
      <c r="D101" s="3">
        <v>3902</v>
      </c>
      <c r="E101" s="4" t="s">
        <v>24</v>
      </c>
      <c r="F101" s="5">
        <v>5.33</v>
      </c>
      <c r="G101" s="4" t="s">
        <v>25</v>
      </c>
      <c r="H101" s="6">
        <f t="shared" si="1"/>
        <v>20797.66</v>
      </c>
    </row>
    <row r="102" spans="1:8" x14ac:dyDescent="0.2">
      <c r="A102" s="2" t="s">
        <v>154</v>
      </c>
      <c r="B102" s="2" t="s">
        <v>135</v>
      </c>
      <c r="C102" s="2" t="s">
        <v>27</v>
      </c>
      <c r="D102" s="3">
        <v>3740</v>
      </c>
      <c r="E102" s="4" t="s">
        <v>20</v>
      </c>
      <c r="F102" s="5">
        <v>1.7</v>
      </c>
      <c r="G102" s="4" t="s">
        <v>21</v>
      </c>
      <c r="H102" s="6">
        <f t="shared" si="1"/>
        <v>6358</v>
      </c>
    </row>
    <row r="103" spans="1:8" x14ac:dyDescent="0.2">
      <c r="A103" s="2" t="s">
        <v>155</v>
      </c>
      <c r="B103" s="2" t="s">
        <v>135</v>
      </c>
      <c r="C103" s="2" t="s">
        <v>46</v>
      </c>
      <c r="D103" s="3">
        <v>1602</v>
      </c>
      <c r="E103" s="4" t="s">
        <v>20</v>
      </c>
      <c r="F103" s="5">
        <v>3.44</v>
      </c>
      <c r="G103" s="4" t="s">
        <v>21</v>
      </c>
      <c r="H103" s="6">
        <f t="shared" si="1"/>
        <v>5510.88</v>
      </c>
    </row>
    <row r="104" spans="1:8" x14ac:dyDescent="0.2">
      <c r="A104" s="2" t="s">
        <v>156</v>
      </c>
      <c r="B104" s="2" t="s">
        <v>135</v>
      </c>
      <c r="C104" s="2" t="s">
        <v>67</v>
      </c>
      <c r="D104" s="3">
        <v>4059</v>
      </c>
      <c r="E104" s="4" t="s">
        <v>24</v>
      </c>
      <c r="F104" s="5">
        <v>0.42</v>
      </c>
      <c r="G104" s="4" t="s">
        <v>25</v>
      </c>
      <c r="H104" s="6">
        <f t="shared" si="1"/>
        <v>1704.78</v>
      </c>
    </row>
    <row r="105" spans="1:8" x14ac:dyDescent="0.2">
      <c r="A105" s="2" t="s">
        <v>157</v>
      </c>
      <c r="B105" s="2" t="s">
        <v>135</v>
      </c>
      <c r="C105" s="2" t="s">
        <v>89</v>
      </c>
      <c r="D105" s="3">
        <v>55</v>
      </c>
      <c r="E105" s="4" t="s">
        <v>30</v>
      </c>
      <c r="F105" s="5">
        <v>2.87</v>
      </c>
      <c r="G105" s="4" t="s">
        <v>31</v>
      </c>
      <c r="H105" s="6">
        <f t="shared" si="1"/>
        <v>157.85</v>
      </c>
    </row>
    <row r="106" spans="1:8" x14ac:dyDescent="0.2">
      <c r="A106" s="2" t="s">
        <v>158</v>
      </c>
      <c r="B106" s="2" t="s">
        <v>135</v>
      </c>
      <c r="C106" s="2" t="s">
        <v>50</v>
      </c>
      <c r="D106" s="3">
        <v>3492</v>
      </c>
      <c r="E106" s="4" t="s">
        <v>20</v>
      </c>
      <c r="F106" s="5">
        <v>0.83</v>
      </c>
      <c r="G106" s="4" t="s">
        <v>21</v>
      </c>
      <c r="H106" s="6">
        <f t="shared" si="1"/>
        <v>2898.3599999999997</v>
      </c>
    </row>
    <row r="107" spans="1:8" x14ac:dyDescent="0.2">
      <c r="A107" s="2" t="s">
        <v>159</v>
      </c>
      <c r="B107" s="2" t="s">
        <v>135</v>
      </c>
      <c r="C107" s="2" t="s">
        <v>78</v>
      </c>
      <c r="D107" s="3">
        <v>3815</v>
      </c>
      <c r="E107" s="4" t="s">
        <v>38</v>
      </c>
      <c r="F107" s="5">
        <v>1.59</v>
      </c>
      <c r="G107" s="4" t="s">
        <v>39</v>
      </c>
      <c r="H107" s="6">
        <f t="shared" si="1"/>
        <v>6065.85</v>
      </c>
    </row>
    <row r="108" spans="1:8" x14ac:dyDescent="0.2">
      <c r="A108" s="2" t="s">
        <v>160</v>
      </c>
      <c r="B108" s="2" t="s">
        <v>135</v>
      </c>
      <c r="C108" s="2" t="s">
        <v>42</v>
      </c>
      <c r="D108" s="3">
        <v>1004</v>
      </c>
      <c r="E108" s="4" t="s">
        <v>24</v>
      </c>
      <c r="F108" s="5">
        <v>4.87</v>
      </c>
      <c r="G108" s="4" t="s">
        <v>25</v>
      </c>
      <c r="H108" s="6">
        <f t="shared" si="1"/>
        <v>4889.4800000000005</v>
      </c>
    </row>
    <row r="109" spans="1:8" x14ac:dyDescent="0.2">
      <c r="A109" s="2" t="s">
        <v>161</v>
      </c>
      <c r="B109" s="2" t="s">
        <v>135</v>
      </c>
      <c r="C109" s="2" t="s">
        <v>23</v>
      </c>
      <c r="D109" s="3">
        <v>4361</v>
      </c>
      <c r="E109" s="4" t="s">
        <v>24</v>
      </c>
      <c r="F109" s="5">
        <v>17.93</v>
      </c>
      <c r="G109" s="4" t="s">
        <v>25</v>
      </c>
      <c r="H109" s="6">
        <f t="shared" si="1"/>
        <v>78192.73</v>
      </c>
    </row>
    <row r="110" spans="1:8" x14ac:dyDescent="0.2">
      <c r="A110" s="2" t="s">
        <v>162</v>
      </c>
      <c r="B110" s="2" t="s">
        <v>135</v>
      </c>
      <c r="C110" s="2" t="s">
        <v>147</v>
      </c>
      <c r="D110" s="3">
        <v>2609</v>
      </c>
      <c r="E110" s="4" t="s">
        <v>53</v>
      </c>
      <c r="F110" s="5">
        <v>15.6</v>
      </c>
      <c r="G110" s="4" t="s">
        <v>54</v>
      </c>
      <c r="H110" s="6">
        <f t="shared" si="1"/>
        <v>40700.400000000001</v>
      </c>
    </row>
    <row r="111" spans="1:8" x14ac:dyDescent="0.2">
      <c r="A111" s="2" t="s">
        <v>163</v>
      </c>
      <c r="B111" s="2" t="s">
        <v>135</v>
      </c>
      <c r="C111" s="2" t="s">
        <v>23</v>
      </c>
      <c r="D111" s="3">
        <v>4145</v>
      </c>
      <c r="E111" s="4" t="s">
        <v>24</v>
      </c>
      <c r="F111" s="5">
        <v>14.56</v>
      </c>
      <c r="G111" s="4" t="s">
        <v>25</v>
      </c>
      <c r="H111" s="6">
        <f t="shared" si="1"/>
        <v>60351.200000000004</v>
      </c>
    </row>
    <row r="112" spans="1:8" x14ac:dyDescent="0.2">
      <c r="A112" s="2" t="s">
        <v>164</v>
      </c>
      <c r="B112" s="2" t="s">
        <v>135</v>
      </c>
      <c r="C112" s="2" t="s">
        <v>29</v>
      </c>
      <c r="D112" s="3">
        <v>3662</v>
      </c>
      <c r="E112" s="4" t="s">
        <v>30</v>
      </c>
      <c r="F112" s="5">
        <v>2.08</v>
      </c>
      <c r="G112" s="4" t="s">
        <v>31</v>
      </c>
      <c r="H112" s="6">
        <f t="shared" si="1"/>
        <v>7616.96</v>
      </c>
    </row>
    <row r="113" spans="1:8" x14ac:dyDescent="0.2">
      <c r="A113" s="2" t="s">
        <v>165</v>
      </c>
      <c r="B113" s="2" t="s">
        <v>135</v>
      </c>
      <c r="C113" s="2" t="s">
        <v>48</v>
      </c>
      <c r="D113" s="3">
        <v>3696</v>
      </c>
      <c r="E113" s="4" t="s">
        <v>24</v>
      </c>
      <c r="F113" s="5">
        <v>0.09</v>
      </c>
      <c r="G113" s="4" t="s">
        <v>25</v>
      </c>
      <c r="H113" s="6">
        <f t="shared" si="1"/>
        <v>332.64</v>
      </c>
    </row>
    <row r="114" spans="1:8" x14ac:dyDescent="0.2">
      <c r="A114" s="2" t="s">
        <v>166</v>
      </c>
      <c r="B114" s="2" t="s">
        <v>135</v>
      </c>
      <c r="C114" s="2" t="s">
        <v>42</v>
      </c>
      <c r="D114" s="3">
        <v>2281</v>
      </c>
      <c r="E114" s="4" t="s">
        <v>24</v>
      </c>
      <c r="F114" s="5">
        <v>5.8</v>
      </c>
      <c r="G114" s="4" t="s">
        <v>25</v>
      </c>
      <c r="H114" s="6">
        <f t="shared" si="1"/>
        <v>13229.8</v>
      </c>
    </row>
    <row r="115" spans="1:8" x14ac:dyDescent="0.2">
      <c r="A115" s="2" t="s">
        <v>167</v>
      </c>
      <c r="B115" s="2" t="s">
        <v>168</v>
      </c>
      <c r="C115" s="2" t="s">
        <v>78</v>
      </c>
      <c r="D115" s="3">
        <v>3979</v>
      </c>
      <c r="E115" s="4" t="s">
        <v>38</v>
      </c>
      <c r="F115" s="5">
        <v>2.57</v>
      </c>
      <c r="G115" s="4" t="s">
        <v>39</v>
      </c>
      <c r="H115" s="6">
        <f t="shared" si="1"/>
        <v>10226.029999999999</v>
      </c>
    </row>
    <row r="116" spans="1:8" x14ac:dyDescent="0.2">
      <c r="A116" s="2" t="s">
        <v>169</v>
      </c>
      <c r="B116" s="2" t="s">
        <v>168</v>
      </c>
      <c r="C116" s="2" t="s">
        <v>86</v>
      </c>
      <c r="D116" s="3">
        <v>3613</v>
      </c>
      <c r="E116" s="4" t="s">
        <v>72</v>
      </c>
      <c r="F116" s="5">
        <v>7908.48</v>
      </c>
      <c r="G116" s="4" t="s">
        <v>73</v>
      </c>
      <c r="H116" s="6">
        <f t="shared" si="1"/>
        <v>28573338.239999998</v>
      </c>
    </row>
    <row r="117" spans="1:8" x14ac:dyDescent="0.2">
      <c r="A117" s="2" t="s">
        <v>170</v>
      </c>
      <c r="B117" s="2" t="s">
        <v>168</v>
      </c>
      <c r="C117" s="2" t="s">
        <v>71</v>
      </c>
      <c r="D117" s="3">
        <v>1930</v>
      </c>
      <c r="E117" s="4" t="s">
        <v>72</v>
      </c>
      <c r="F117" s="5">
        <v>2563.0300000000002</v>
      </c>
      <c r="G117" s="4" t="s">
        <v>73</v>
      </c>
      <c r="H117" s="6">
        <f t="shared" si="1"/>
        <v>4946647.9000000004</v>
      </c>
    </row>
    <row r="118" spans="1:8" x14ac:dyDescent="0.2">
      <c r="A118" s="2" t="s">
        <v>171</v>
      </c>
      <c r="B118" s="2" t="s">
        <v>168</v>
      </c>
      <c r="C118" s="2" t="s">
        <v>57</v>
      </c>
      <c r="D118" s="3">
        <v>4434</v>
      </c>
      <c r="E118" s="4" t="s">
        <v>20</v>
      </c>
      <c r="F118" s="5">
        <v>0.63</v>
      </c>
      <c r="G118" s="4" t="s">
        <v>21</v>
      </c>
      <c r="H118" s="6">
        <f t="shared" si="1"/>
        <v>2793.42</v>
      </c>
    </row>
    <row r="119" spans="1:8" x14ac:dyDescent="0.2">
      <c r="A119" s="2" t="s">
        <v>172</v>
      </c>
      <c r="B119" s="2" t="s">
        <v>168</v>
      </c>
      <c r="C119" s="2" t="s">
        <v>89</v>
      </c>
      <c r="D119" s="3">
        <v>1904</v>
      </c>
      <c r="E119" s="4" t="s">
        <v>30</v>
      </c>
      <c r="F119" s="5">
        <v>2.2599999999999998</v>
      </c>
      <c r="G119" s="4" t="s">
        <v>31</v>
      </c>
      <c r="H119" s="6">
        <f t="shared" si="1"/>
        <v>4303.04</v>
      </c>
    </row>
    <row r="120" spans="1:8" x14ac:dyDescent="0.2">
      <c r="A120" s="2" t="s">
        <v>173</v>
      </c>
      <c r="B120" s="2" t="s">
        <v>168</v>
      </c>
      <c r="C120" s="2" t="s">
        <v>89</v>
      </c>
      <c r="D120" s="3">
        <v>1762</v>
      </c>
      <c r="E120" s="4" t="s">
        <v>30</v>
      </c>
      <c r="F120" s="5">
        <v>1.88</v>
      </c>
      <c r="G120" s="4" t="s">
        <v>31</v>
      </c>
      <c r="H120" s="6">
        <f t="shared" si="1"/>
        <v>3312.56</v>
      </c>
    </row>
    <row r="121" spans="1:8" x14ac:dyDescent="0.2">
      <c r="A121" s="2" t="s">
        <v>174</v>
      </c>
      <c r="B121" s="2" t="s">
        <v>168</v>
      </c>
      <c r="C121" s="2" t="s">
        <v>52</v>
      </c>
      <c r="D121" s="3">
        <v>2720</v>
      </c>
      <c r="E121" s="4" t="s">
        <v>53</v>
      </c>
      <c r="F121" s="5">
        <v>11.71</v>
      </c>
      <c r="G121" s="4" t="s">
        <v>54</v>
      </c>
      <c r="H121" s="6">
        <f t="shared" si="1"/>
        <v>31851.200000000001</v>
      </c>
    </row>
    <row r="122" spans="1:8" x14ac:dyDescent="0.2">
      <c r="A122" s="2" t="s">
        <v>175</v>
      </c>
      <c r="B122" s="2" t="s">
        <v>168</v>
      </c>
      <c r="C122" s="2" t="s">
        <v>52</v>
      </c>
      <c r="D122" s="3">
        <v>520</v>
      </c>
      <c r="E122" s="4" t="s">
        <v>53</v>
      </c>
      <c r="F122" s="5">
        <v>10.029999999999999</v>
      </c>
      <c r="G122" s="4" t="s">
        <v>54</v>
      </c>
      <c r="H122" s="6">
        <f t="shared" si="1"/>
        <v>5215.5999999999995</v>
      </c>
    </row>
    <row r="123" spans="1:8" x14ac:dyDescent="0.2">
      <c r="A123" s="2" t="s">
        <v>176</v>
      </c>
      <c r="B123" s="2" t="s">
        <v>168</v>
      </c>
      <c r="C123" s="2" t="s">
        <v>52</v>
      </c>
      <c r="D123" s="3">
        <v>3200</v>
      </c>
      <c r="E123" s="4" t="s">
        <v>53</v>
      </c>
      <c r="F123" s="5">
        <v>13.52</v>
      </c>
      <c r="G123" s="4" t="s">
        <v>54</v>
      </c>
      <c r="H123" s="6">
        <f t="shared" si="1"/>
        <v>43264</v>
      </c>
    </row>
    <row r="124" spans="1:8" x14ac:dyDescent="0.2">
      <c r="A124" s="2" t="s">
        <v>177</v>
      </c>
      <c r="B124" s="2" t="s">
        <v>168</v>
      </c>
      <c r="C124" s="2" t="s">
        <v>46</v>
      </c>
      <c r="D124" s="3">
        <v>170</v>
      </c>
      <c r="E124" s="4" t="s">
        <v>20</v>
      </c>
      <c r="F124" s="5">
        <v>3.71</v>
      </c>
      <c r="G124" s="4" t="s">
        <v>21</v>
      </c>
      <c r="H124" s="6">
        <f t="shared" si="1"/>
        <v>630.70000000000005</v>
      </c>
    </row>
    <row r="125" spans="1:8" x14ac:dyDescent="0.2">
      <c r="A125" s="2" t="s">
        <v>178</v>
      </c>
      <c r="B125" s="2" t="s">
        <v>168</v>
      </c>
      <c r="C125" s="2" t="s">
        <v>46</v>
      </c>
      <c r="D125" s="3">
        <v>3126</v>
      </c>
      <c r="E125" s="4" t="s">
        <v>20</v>
      </c>
      <c r="F125" s="5">
        <v>2.95</v>
      </c>
      <c r="G125" s="4" t="s">
        <v>21</v>
      </c>
      <c r="H125" s="6">
        <f t="shared" si="1"/>
        <v>9221.7000000000007</v>
      </c>
    </row>
    <row r="126" spans="1:8" x14ac:dyDescent="0.2">
      <c r="A126" s="2" t="s">
        <v>179</v>
      </c>
      <c r="B126" s="2" t="s">
        <v>168</v>
      </c>
      <c r="C126" s="2" t="s">
        <v>19</v>
      </c>
      <c r="D126" s="3">
        <v>2456</v>
      </c>
      <c r="E126" s="4" t="s">
        <v>20</v>
      </c>
      <c r="F126" s="5">
        <v>1.55</v>
      </c>
      <c r="G126" s="4" t="s">
        <v>21</v>
      </c>
      <c r="H126" s="6">
        <f t="shared" si="1"/>
        <v>3806.8</v>
      </c>
    </row>
    <row r="127" spans="1:8" x14ac:dyDescent="0.2">
      <c r="A127" s="2" t="s">
        <v>180</v>
      </c>
      <c r="B127" s="2" t="s">
        <v>168</v>
      </c>
      <c r="C127" s="2" t="s">
        <v>52</v>
      </c>
      <c r="D127" s="3">
        <v>4419</v>
      </c>
      <c r="E127" s="4" t="s">
        <v>53</v>
      </c>
      <c r="F127" s="5">
        <v>12.74</v>
      </c>
      <c r="G127" s="4" t="s">
        <v>54</v>
      </c>
      <c r="H127" s="6">
        <f t="shared" si="1"/>
        <v>56298.06</v>
      </c>
    </row>
    <row r="128" spans="1:8" x14ac:dyDescent="0.2">
      <c r="A128" s="2" t="s">
        <v>181</v>
      </c>
      <c r="B128" s="2" t="s">
        <v>168</v>
      </c>
      <c r="C128" s="2" t="s">
        <v>29</v>
      </c>
      <c r="D128" s="3">
        <v>4951</v>
      </c>
      <c r="E128" s="4" t="s">
        <v>30</v>
      </c>
      <c r="F128" s="5">
        <v>2.08</v>
      </c>
      <c r="G128" s="4" t="s">
        <v>31</v>
      </c>
      <c r="H128" s="6">
        <f t="shared" si="1"/>
        <v>10298.08</v>
      </c>
    </row>
    <row r="129" spans="1:8" x14ac:dyDescent="0.2">
      <c r="A129" s="2" t="s">
        <v>182</v>
      </c>
      <c r="B129" s="2" t="s">
        <v>168</v>
      </c>
      <c r="C129" s="2" t="s">
        <v>48</v>
      </c>
      <c r="D129" s="3">
        <v>1807</v>
      </c>
      <c r="E129" s="4" t="s">
        <v>24</v>
      </c>
      <c r="F129" s="5">
        <v>0.09</v>
      </c>
      <c r="G129" s="4" t="s">
        <v>25</v>
      </c>
      <c r="H129" s="6">
        <f t="shared" si="1"/>
        <v>162.63</v>
      </c>
    </row>
    <row r="130" spans="1:8" x14ac:dyDescent="0.2">
      <c r="A130" s="2" t="s">
        <v>183</v>
      </c>
      <c r="B130" s="2" t="s">
        <v>168</v>
      </c>
      <c r="C130" s="2" t="s">
        <v>48</v>
      </c>
      <c r="D130" s="3">
        <v>247</v>
      </c>
      <c r="E130" s="4" t="s">
        <v>24</v>
      </c>
      <c r="F130" s="5">
        <v>0.11</v>
      </c>
      <c r="G130" s="4" t="s">
        <v>25</v>
      </c>
      <c r="H130" s="6">
        <f t="shared" ref="H130:H193" si="2">D130*F130</f>
        <v>27.17</v>
      </c>
    </row>
    <row r="131" spans="1:8" x14ac:dyDescent="0.2">
      <c r="A131" s="2" t="s">
        <v>184</v>
      </c>
      <c r="B131" s="2" t="s">
        <v>168</v>
      </c>
      <c r="C131" s="2" t="s">
        <v>67</v>
      </c>
      <c r="D131" s="3">
        <v>1362</v>
      </c>
      <c r="E131" s="4" t="s">
        <v>24</v>
      </c>
      <c r="F131" s="5">
        <v>0.55000000000000004</v>
      </c>
      <c r="G131" s="4" t="s">
        <v>25</v>
      </c>
      <c r="H131" s="6">
        <f t="shared" si="2"/>
        <v>749.1</v>
      </c>
    </row>
    <row r="132" spans="1:8" x14ac:dyDescent="0.2">
      <c r="A132" s="2" t="s">
        <v>185</v>
      </c>
      <c r="B132" s="2" t="s">
        <v>168</v>
      </c>
      <c r="C132" s="2" t="s">
        <v>89</v>
      </c>
      <c r="D132" s="3">
        <v>4385</v>
      </c>
      <c r="E132" s="4" t="s">
        <v>30</v>
      </c>
      <c r="F132" s="5">
        <v>1.83</v>
      </c>
      <c r="G132" s="4" t="s">
        <v>31</v>
      </c>
      <c r="H132" s="6">
        <f t="shared" si="2"/>
        <v>8024.55</v>
      </c>
    </row>
    <row r="133" spans="1:8" x14ac:dyDescent="0.2">
      <c r="A133" s="2" t="s">
        <v>186</v>
      </c>
      <c r="B133" s="2" t="s">
        <v>168</v>
      </c>
      <c r="C133" s="2" t="s">
        <v>67</v>
      </c>
      <c r="D133" s="3">
        <v>4858</v>
      </c>
      <c r="E133" s="4" t="s">
        <v>24</v>
      </c>
      <c r="F133" s="5">
        <v>0.47</v>
      </c>
      <c r="G133" s="4" t="s">
        <v>25</v>
      </c>
      <c r="H133" s="6">
        <f t="shared" si="2"/>
        <v>2283.2599999999998</v>
      </c>
    </row>
    <row r="134" spans="1:8" x14ac:dyDescent="0.2">
      <c r="A134" s="2" t="s">
        <v>187</v>
      </c>
      <c r="B134" s="2" t="s">
        <v>168</v>
      </c>
      <c r="C134" s="2" t="s">
        <v>33</v>
      </c>
      <c r="D134" s="3">
        <v>697</v>
      </c>
      <c r="E134" s="4" t="s">
        <v>34</v>
      </c>
      <c r="F134" s="5">
        <v>5.1100000000000003</v>
      </c>
      <c r="G134" s="4" t="s">
        <v>35</v>
      </c>
      <c r="H134" s="6">
        <f t="shared" si="2"/>
        <v>3561.67</v>
      </c>
    </row>
    <row r="135" spans="1:8" x14ac:dyDescent="0.2">
      <c r="A135" s="2" t="s">
        <v>188</v>
      </c>
      <c r="B135" s="2" t="s">
        <v>168</v>
      </c>
      <c r="C135" s="2" t="s">
        <v>89</v>
      </c>
      <c r="D135" s="3">
        <v>3792</v>
      </c>
      <c r="E135" s="4" t="s">
        <v>30</v>
      </c>
      <c r="F135" s="5">
        <v>2.02</v>
      </c>
      <c r="G135" s="4" t="s">
        <v>31</v>
      </c>
      <c r="H135" s="6">
        <f t="shared" si="2"/>
        <v>7659.84</v>
      </c>
    </row>
    <row r="136" spans="1:8" x14ac:dyDescent="0.2">
      <c r="A136" s="2" t="s">
        <v>189</v>
      </c>
      <c r="B136" s="2" t="s">
        <v>168</v>
      </c>
      <c r="C136" s="2" t="s">
        <v>86</v>
      </c>
      <c r="D136" s="3">
        <v>3115</v>
      </c>
      <c r="E136" s="4" t="s">
        <v>72</v>
      </c>
      <c r="F136" s="5">
        <v>8258.2900000000009</v>
      </c>
      <c r="G136" s="4" t="s">
        <v>73</v>
      </c>
      <c r="H136" s="6">
        <f t="shared" si="2"/>
        <v>25724573.350000001</v>
      </c>
    </row>
    <row r="137" spans="1:8" x14ac:dyDescent="0.2">
      <c r="A137" s="2" t="s">
        <v>190</v>
      </c>
      <c r="B137" s="2" t="s">
        <v>168</v>
      </c>
      <c r="C137" s="2" t="s">
        <v>23</v>
      </c>
      <c r="D137" s="3">
        <v>2687</v>
      </c>
      <c r="E137" s="4" t="s">
        <v>24</v>
      </c>
      <c r="F137" s="5">
        <v>14.03</v>
      </c>
      <c r="G137" s="4" t="s">
        <v>25</v>
      </c>
      <c r="H137" s="6">
        <f t="shared" si="2"/>
        <v>37698.61</v>
      </c>
    </row>
    <row r="138" spans="1:8" x14ac:dyDescent="0.2">
      <c r="A138" s="2" t="s">
        <v>191</v>
      </c>
      <c r="B138" s="2" t="s">
        <v>168</v>
      </c>
      <c r="C138" s="2" t="s">
        <v>67</v>
      </c>
      <c r="D138" s="3">
        <v>2289</v>
      </c>
      <c r="E138" s="4" t="s">
        <v>24</v>
      </c>
      <c r="F138" s="5">
        <v>0.53</v>
      </c>
      <c r="G138" s="4" t="s">
        <v>25</v>
      </c>
      <c r="H138" s="6">
        <f t="shared" si="2"/>
        <v>1213.17</v>
      </c>
    </row>
    <row r="139" spans="1:8" x14ac:dyDescent="0.2">
      <c r="A139" s="2" t="s">
        <v>192</v>
      </c>
      <c r="B139" s="2" t="s">
        <v>168</v>
      </c>
      <c r="C139" s="2" t="s">
        <v>52</v>
      </c>
      <c r="D139" s="3">
        <v>2076</v>
      </c>
      <c r="E139" s="4" t="s">
        <v>53</v>
      </c>
      <c r="F139" s="5">
        <v>13.17</v>
      </c>
      <c r="G139" s="4" t="s">
        <v>54</v>
      </c>
      <c r="H139" s="6">
        <f t="shared" si="2"/>
        <v>27340.92</v>
      </c>
    </row>
    <row r="140" spans="1:8" x14ac:dyDescent="0.2">
      <c r="A140" s="2" t="s">
        <v>193</v>
      </c>
      <c r="B140" s="2" t="s">
        <v>168</v>
      </c>
      <c r="C140" s="2" t="s">
        <v>48</v>
      </c>
      <c r="D140" s="3">
        <v>168</v>
      </c>
      <c r="E140" s="4" t="s">
        <v>24</v>
      </c>
      <c r="F140" s="5">
        <v>0.16</v>
      </c>
      <c r="G140" s="4" t="s">
        <v>25</v>
      </c>
      <c r="H140" s="6">
        <f t="shared" si="2"/>
        <v>26.88</v>
      </c>
    </row>
    <row r="141" spans="1:8" x14ac:dyDescent="0.2">
      <c r="A141" s="2" t="s">
        <v>194</v>
      </c>
      <c r="B141" s="2" t="s">
        <v>168</v>
      </c>
      <c r="C141" s="2" t="s">
        <v>37</v>
      </c>
      <c r="D141" s="3">
        <v>2876</v>
      </c>
      <c r="E141" s="4" t="s">
        <v>38</v>
      </c>
      <c r="F141" s="5">
        <v>2.67</v>
      </c>
      <c r="G141" s="4" t="s">
        <v>39</v>
      </c>
      <c r="H141" s="6">
        <f t="shared" si="2"/>
        <v>7678.92</v>
      </c>
    </row>
    <row r="142" spans="1:8" x14ac:dyDescent="0.2">
      <c r="A142" s="2" t="s">
        <v>195</v>
      </c>
      <c r="B142" s="2" t="s">
        <v>168</v>
      </c>
      <c r="C142" s="2" t="s">
        <v>27</v>
      </c>
      <c r="D142" s="3">
        <v>339</v>
      </c>
      <c r="E142" s="4" t="s">
        <v>20</v>
      </c>
      <c r="F142" s="5">
        <v>2.11</v>
      </c>
      <c r="G142" s="4" t="s">
        <v>21</v>
      </c>
      <c r="H142" s="6">
        <f t="shared" si="2"/>
        <v>715.29</v>
      </c>
    </row>
    <row r="143" spans="1:8" x14ac:dyDescent="0.2">
      <c r="A143" s="2" t="s">
        <v>196</v>
      </c>
      <c r="B143" s="2" t="s">
        <v>168</v>
      </c>
      <c r="C143" s="2" t="s">
        <v>42</v>
      </c>
      <c r="D143" s="3">
        <v>1643</v>
      </c>
      <c r="E143" s="4" t="s">
        <v>24</v>
      </c>
      <c r="F143" s="5">
        <v>6.02</v>
      </c>
      <c r="G143" s="4" t="s">
        <v>25</v>
      </c>
      <c r="H143" s="6">
        <f t="shared" si="2"/>
        <v>9890.8599999999988</v>
      </c>
    </row>
    <row r="144" spans="1:8" x14ac:dyDescent="0.2">
      <c r="A144" s="2" t="s">
        <v>197</v>
      </c>
      <c r="B144" s="2" t="s">
        <v>168</v>
      </c>
      <c r="C144" s="2" t="s">
        <v>147</v>
      </c>
      <c r="D144" s="3">
        <v>1258</v>
      </c>
      <c r="E144" s="4" t="s">
        <v>53</v>
      </c>
      <c r="F144" s="5">
        <v>9.91</v>
      </c>
      <c r="G144" s="4" t="s">
        <v>54</v>
      </c>
      <c r="H144" s="6">
        <f t="shared" si="2"/>
        <v>12466.78</v>
      </c>
    </row>
    <row r="145" spans="1:8" x14ac:dyDescent="0.2">
      <c r="A145" s="2" t="s">
        <v>198</v>
      </c>
      <c r="B145" s="2" t="s">
        <v>168</v>
      </c>
      <c r="C145" s="2" t="s">
        <v>48</v>
      </c>
      <c r="D145" s="3">
        <v>947</v>
      </c>
      <c r="E145" s="4" t="s">
        <v>24</v>
      </c>
      <c r="F145" s="5">
        <v>0.13</v>
      </c>
      <c r="G145" s="4" t="s">
        <v>25</v>
      </c>
      <c r="H145" s="6">
        <f t="shared" si="2"/>
        <v>123.11</v>
      </c>
    </row>
    <row r="146" spans="1:8" x14ac:dyDescent="0.2">
      <c r="A146" s="2" t="s">
        <v>199</v>
      </c>
      <c r="B146" s="2" t="s">
        <v>168</v>
      </c>
      <c r="C146" s="2" t="s">
        <v>44</v>
      </c>
      <c r="D146" s="3">
        <v>3819</v>
      </c>
      <c r="E146" s="4" t="s">
        <v>24</v>
      </c>
      <c r="F146" s="5">
        <v>1.39</v>
      </c>
      <c r="G146" s="4" t="s">
        <v>25</v>
      </c>
      <c r="H146" s="6">
        <f t="shared" si="2"/>
        <v>5308.41</v>
      </c>
    </row>
    <row r="147" spans="1:8" x14ac:dyDescent="0.2">
      <c r="A147" s="2" t="s">
        <v>200</v>
      </c>
      <c r="B147" s="2" t="s">
        <v>168</v>
      </c>
      <c r="C147" s="2" t="s">
        <v>19</v>
      </c>
      <c r="D147" s="3">
        <v>1384</v>
      </c>
      <c r="E147" s="4" t="s">
        <v>20</v>
      </c>
      <c r="F147" s="5">
        <v>1.46</v>
      </c>
      <c r="G147" s="4" t="s">
        <v>21</v>
      </c>
      <c r="H147" s="6">
        <f t="shared" si="2"/>
        <v>2020.6399999999999</v>
      </c>
    </row>
    <row r="148" spans="1:8" x14ac:dyDescent="0.2">
      <c r="A148" s="2" t="s">
        <v>201</v>
      </c>
      <c r="B148" s="2" t="s">
        <v>168</v>
      </c>
      <c r="C148" s="2" t="s">
        <v>50</v>
      </c>
      <c r="D148" s="3">
        <v>1351</v>
      </c>
      <c r="E148" s="4" t="s">
        <v>20</v>
      </c>
      <c r="F148" s="5">
        <v>1.28</v>
      </c>
      <c r="G148" s="4" t="s">
        <v>21</v>
      </c>
      <c r="H148" s="6">
        <f t="shared" si="2"/>
        <v>1729.28</v>
      </c>
    </row>
    <row r="149" spans="1:8" x14ac:dyDescent="0.2">
      <c r="A149" s="2" t="s">
        <v>202</v>
      </c>
      <c r="B149" s="2" t="s">
        <v>168</v>
      </c>
      <c r="C149" s="2" t="s">
        <v>50</v>
      </c>
      <c r="D149" s="3">
        <v>4750</v>
      </c>
      <c r="E149" s="4" t="s">
        <v>20</v>
      </c>
      <c r="F149" s="5">
        <v>0.72</v>
      </c>
      <c r="G149" s="4" t="s">
        <v>21</v>
      </c>
      <c r="H149" s="6">
        <f t="shared" si="2"/>
        <v>3420</v>
      </c>
    </row>
    <row r="150" spans="1:8" x14ac:dyDescent="0.2">
      <c r="A150" s="2" t="s">
        <v>203</v>
      </c>
      <c r="B150" s="2" t="s">
        <v>168</v>
      </c>
      <c r="C150" s="2" t="s">
        <v>71</v>
      </c>
      <c r="D150" s="3">
        <v>4726</v>
      </c>
      <c r="E150" s="4" t="s">
        <v>72</v>
      </c>
      <c r="F150" s="5">
        <v>2806.41</v>
      </c>
      <c r="G150" s="4" t="s">
        <v>73</v>
      </c>
      <c r="H150" s="6">
        <f t="shared" si="2"/>
        <v>13263093.66</v>
      </c>
    </row>
    <row r="151" spans="1:8" x14ac:dyDescent="0.2">
      <c r="A151" s="2" t="s">
        <v>204</v>
      </c>
      <c r="B151" s="2" t="s">
        <v>168</v>
      </c>
      <c r="C151" s="2" t="s">
        <v>67</v>
      </c>
      <c r="D151" s="3">
        <v>3259</v>
      </c>
      <c r="E151" s="4" t="s">
        <v>24</v>
      </c>
      <c r="F151" s="5">
        <v>0.57999999999999996</v>
      </c>
      <c r="G151" s="4" t="s">
        <v>25</v>
      </c>
      <c r="H151" s="6">
        <f t="shared" si="2"/>
        <v>1890.2199999999998</v>
      </c>
    </row>
    <row r="152" spans="1:8" x14ac:dyDescent="0.2">
      <c r="A152" s="2" t="s">
        <v>205</v>
      </c>
      <c r="B152" s="2" t="s">
        <v>168</v>
      </c>
      <c r="C152" s="2" t="s">
        <v>44</v>
      </c>
      <c r="D152" s="3">
        <v>632</v>
      </c>
      <c r="E152" s="4" t="s">
        <v>24</v>
      </c>
      <c r="F152" s="5">
        <v>1.31</v>
      </c>
      <c r="G152" s="4" t="s">
        <v>25</v>
      </c>
      <c r="H152" s="6">
        <f t="shared" si="2"/>
        <v>827.92000000000007</v>
      </c>
    </row>
    <row r="153" spans="1:8" x14ac:dyDescent="0.2">
      <c r="A153" s="2" t="s">
        <v>206</v>
      </c>
      <c r="B153" s="2" t="s">
        <v>168</v>
      </c>
      <c r="C153" s="2" t="s">
        <v>42</v>
      </c>
      <c r="D153" s="3">
        <v>844</v>
      </c>
      <c r="E153" s="4" t="s">
        <v>24</v>
      </c>
      <c r="F153" s="5">
        <v>5.59</v>
      </c>
      <c r="G153" s="4" t="s">
        <v>25</v>
      </c>
      <c r="H153" s="6">
        <f t="shared" si="2"/>
        <v>4717.96</v>
      </c>
    </row>
    <row r="154" spans="1:8" x14ac:dyDescent="0.2">
      <c r="A154" s="2" t="s">
        <v>207</v>
      </c>
      <c r="B154" s="2" t="s">
        <v>168</v>
      </c>
      <c r="C154" s="2" t="s">
        <v>71</v>
      </c>
      <c r="D154" s="3">
        <v>4928</v>
      </c>
      <c r="E154" s="4" t="s">
        <v>72</v>
      </c>
      <c r="F154" s="5">
        <v>2883.32</v>
      </c>
      <c r="G154" s="4" t="s">
        <v>73</v>
      </c>
      <c r="H154" s="6">
        <f t="shared" si="2"/>
        <v>14209000.960000001</v>
      </c>
    </row>
    <row r="155" spans="1:8" x14ac:dyDescent="0.2">
      <c r="A155" s="2" t="s">
        <v>208</v>
      </c>
      <c r="B155" s="2" t="s">
        <v>168</v>
      </c>
      <c r="C155" s="2" t="s">
        <v>46</v>
      </c>
      <c r="D155" s="3">
        <v>346</v>
      </c>
      <c r="E155" s="4" t="s">
        <v>20</v>
      </c>
      <c r="F155" s="5">
        <v>2.69</v>
      </c>
      <c r="G155" s="4" t="s">
        <v>21</v>
      </c>
      <c r="H155" s="6">
        <f t="shared" si="2"/>
        <v>930.74</v>
      </c>
    </row>
    <row r="156" spans="1:8" x14ac:dyDescent="0.2">
      <c r="A156" s="2" t="s">
        <v>209</v>
      </c>
      <c r="B156" s="2" t="s">
        <v>168</v>
      </c>
      <c r="C156" s="2" t="s">
        <v>52</v>
      </c>
      <c r="D156" s="3">
        <v>3045</v>
      </c>
      <c r="E156" s="4" t="s">
        <v>53</v>
      </c>
      <c r="F156" s="5">
        <v>9.34</v>
      </c>
      <c r="G156" s="4" t="s">
        <v>54</v>
      </c>
      <c r="H156" s="6">
        <f t="shared" si="2"/>
        <v>28440.3</v>
      </c>
    </row>
    <row r="157" spans="1:8" x14ac:dyDescent="0.2">
      <c r="A157" s="2" t="s">
        <v>210</v>
      </c>
      <c r="B157" s="2" t="s">
        <v>168</v>
      </c>
      <c r="C157" s="2" t="s">
        <v>57</v>
      </c>
      <c r="D157" s="3">
        <v>113</v>
      </c>
      <c r="E157" s="4" t="s">
        <v>20</v>
      </c>
      <c r="F157" s="5">
        <v>0.94</v>
      </c>
      <c r="G157" s="4" t="s">
        <v>21</v>
      </c>
      <c r="H157" s="6">
        <f t="shared" si="2"/>
        <v>106.22</v>
      </c>
    </row>
    <row r="158" spans="1:8" x14ac:dyDescent="0.2">
      <c r="A158" s="2" t="s">
        <v>211</v>
      </c>
      <c r="B158" s="2" t="s">
        <v>168</v>
      </c>
      <c r="C158" s="2" t="s">
        <v>48</v>
      </c>
      <c r="D158" s="3">
        <v>874</v>
      </c>
      <c r="E158" s="4" t="s">
        <v>24</v>
      </c>
      <c r="F158" s="5">
        <v>0.12</v>
      </c>
      <c r="G158" s="4" t="s">
        <v>25</v>
      </c>
      <c r="H158" s="6">
        <f t="shared" si="2"/>
        <v>104.88</v>
      </c>
    </row>
    <row r="159" spans="1:8" x14ac:dyDescent="0.2">
      <c r="A159" s="2" t="s">
        <v>212</v>
      </c>
      <c r="B159" s="2" t="s">
        <v>168</v>
      </c>
      <c r="C159" s="2" t="s">
        <v>19</v>
      </c>
      <c r="D159" s="3">
        <v>3776</v>
      </c>
      <c r="E159" s="4" t="s">
        <v>20</v>
      </c>
      <c r="F159" s="5">
        <v>1.52</v>
      </c>
      <c r="G159" s="4" t="s">
        <v>21</v>
      </c>
      <c r="H159" s="6">
        <f t="shared" si="2"/>
        <v>5739.52</v>
      </c>
    </row>
    <row r="160" spans="1:8" x14ac:dyDescent="0.2">
      <c r="A160" s="2" t="s">
        <v>213</v>
      </c>
      <c r="B160" s="2" t="s">
        <v>214</v>
      </c>
      <c r="C160" s="2" t="s">
        <v>52</v>
      </c>
      <c r="D160" s="3">
        <v>1452</v>
      </c>
      <c r="E160" s="4" t="s">
        <v>53</v>
      </c>
      <c r="F160" s="5">
        <v>12.67</v>
      </c>
      <c r="G160" s="4" t="s">
        <v>54</v>
      </c>
      <c r="H160" s="6">
        <f t="shared" si="2"/>
        <v>18396.84</v>
      </c>
    </row>
    <row r="161" spans="1:8" x14ac:dyDescent="0.2">
      <c r="A161" s="2" t="s">
        <v>215</v>
      </c>
      <c r="B161" s="2" t="s">
        <v>214</v>
      </c>
      <c r="C161" s="2" t="s">
        <v>86</v>
      </c>
      <c r="D161" s="3">
        <v>4418</v>
      </c>
      <c r="E161" s="4" t="s">
        <v>72</v>
      </c>
      <c r="F161" s="5">
        <v>8884.5</v>
      </c>
      <c r="G161" s="4" t="s">
        <v>73</v>
      </c>
      <c r="H161" s="6">
        <f t="shared" si="2"/>
        <v>39251721</v>
      </c>
    </row>
    <row r="162" spans="1:8" x14ac:dyDescent="0.2">
      <c r="A162" s="2" t="s">
        <v>216</v>
      </c>
      <c r="B162" s="2" t="s">
        <v>214</v>
      </c>
      <c r="C162" s="2" t="s">
        <v>23</v>
      </c>
      <c r="D162" s="3">
        <v>3578</v>
      </c>
      <c r="E162" s="4" t="s">
        <v>24</v>
      </c>
      <c r="F162" s="5">
        <v>16.95</v>
      </c>
      <c r="G162" s="4" t="s">
        <v>25</v>
      </c>
      <c r="H162" s="6">
        <f t="shared" si="2"/>
        <v>60647.1</v>
      </c>
    </row>
    <row r="163" spans="1:8" x14ac:dyDescent="0.2">
      <c r="A163" s="2" t="s">
        <v>217</v>
      </c>
      <c r="B163" s="2" t="s">
        <v>214</v>
      </c>
      <c r="C163" s="2" t="s">
        <v>46</v>
      </c>
      <c r="D163" s="3">
        <v>2208</v>
      </c>
      <c r="E163" s="4" t="s">
        <v>20</v>
      </c>
      <c r="F163" s="5">
        <v>2.64</v>
      </c>
      <c r="G163" s="4" t="s">
        <v>21</v>
      </c>
      <c r="H163" s="6">
        <f t="shared" si="2"/>
        <v>5829.12</v>
      </c>
    </row>
    <row r="164" spans="1:8" x14ac:dyDescent="0.2">
      <c r="A164" s="2" t="s">
        <v>218</v>
      </c>
      <c r="B164" s="2" t="s">
        <v>214</v>
      </c>
      <c r="C164" s="2" t="s">
        <v>42</v>
      </c>
      <c r="D164" s="3">
        <v>719</v>
      </c>
      <c r="E164" s="4" t="s">
        <v>24</v>
      </c>
      <c r="F164" s="5">
        <v>4.34</v>
      </c>
      <c r="G164" s="4" t="s">
        <v>25</v>
      </c>
      <c r="H164" s="6">
        <f t="shared" si="2"/>
        <v>3120.46</v>
      </c>
    </row>
    <row r="165" spans="1:8" x14ac:dyDescent="0.2">
      <c r="A165" s="2" t="s">
        <v>219</v>
      </c>
      <c r="B165" s="2" t="s">
        <v>214</v>
      </c>
      <c r="C165" s="2" t="s">
        <v>23</v>
      </c>
      <c r="D165" s="3">
        <v>2007</v>
      </c>
      <c r="E165" s="4" t="s">
        <v>24</v>
      </c>
      <c r="F165" s="5">
        <v>16.5</v>
      </c>
      <c r="G165" s="4" t="s">
        <v>25</v>
      </c>
      <c r="H165" s="6">
        <f t="shared" si="2"/>
        <v>33115.5</v>
      </c>
    </row>
    <row r="166" spans="1:8" x14ac:dyDescent="0.2">
      <c r="A166" s="2" t="s">
        <v>220</v>
      </c>
      <c r="B166" s="2" t="s">
        <v>214</v>
      </c>
      <c r="C166" s="2" t="s">
        <v>46</v>
      </c>
      <c r="D166" s="3">
        <v>3114</v>
      </c>
      <c r="E166" s="4" t="s">
        <v>20</v>
      </c>
      <c r="F166" s="5">
        <v>2.67</v>
      </c>
      <c r="G166" s="4" t="s">
        <v>21</v>
      </c>
      <c r="H166" s="6">
        <f t="shared" si="2"/>
        <v>8314.3799999999992</v>
      </c>
    </row>
    <row r="167" spans="1:8" x14ac:dyDescent="0.2">
      <c r="A167" s="2" t="s">
        <v>221</v>
      </c>
      <c r="B167" s="2" t="s">
        <v>214</v>
      </c>
      <c r="C167" s="2" t="s">
        <v>48</v>
      </c>
      <c r="D167" s="3">
        <v>2672</v>
      </c>
      <c r="E167" s="4" t="s">
        <v>24</v>
      </c>
      <c r="F167" s="5">
        <v>0.08</v>
      </c>
      <c r="G167" s="4" t="s">
        <v>25</v>
      </c>
      <c r="H167" s="6">
        <f t="shared" si="2"/>
        <v>213.76</v>
      </c>
    </row>
    <row r="168" spans="1:8" x14ac:dyDescent="0.2">
      <c r="A168" s="2" t="s">
        <v>222</v>
      </c>
      <c r="B168" s="2" t="s">
        <v>214</v>
      </c>
      <c r="C168" s="2" t="s">
        <v>44</v>
      </c>
      <c r="D168" s="3">
        <v>2916</v>
      </c>
      <c r="E168" s="4" t="s">
        <v>24</v>
      </c>
      <c r="F168" s="5">
        <v>1.46</v>
      </c>
      <c r="G168" s="4" t="s">
        <v>25</v>
      </c>
      <c r="H168" s="6">
        <f t="shared" si="2"/>
        <v>4257.3599999999997</v>
      </c>
    </row>
    <row r="169" spans="1:8" x14ac:dyDescent="0.2">
      <c r="A169" s="2" t="s">
        <v>223</v>
      </c>
      <c r="B169" s="2" t="s">
        <v>214</v>
      </c>
      <c r="C169" s="2" t="s">
        <v>57</v>
      </c>
      <c r="D169" s="3">
        <v>2300</v>
      </c>
      <c r="E169" s="4" t="s">
        <v>20</v>
      </c>
      <c r="F169" s="5">
        <v>0.95</v>
      </c>
      <c r="G169" s="4" t="s">
        <v>21</v>
      </c>
      <c r="H169" s="6">
        <f t="shared" si="2"/>
        <v>2185</v>
      </c>
    </row>
    <row r="170" spans="1:8" x14ac:dyDescent="0.2">
      <c r="A170" s="2" t="s">
        <v>224</v>
      </c>
      <c r="B170" s="2" t="s">
        <v>214</v>
      </c>
      <c r="C170" s="2" t="s">
        <v>86</v>
      </c>
      <c r="D170" s="3">
        <v>4563</v>
      </c>
      <c r="E170" s="4" t="s">
        <v>72</v>
      </c>
      <c r="F170" s="5">
        <v>7814.21</v>
      </c>
      <c r="G170" s="4" t="s">
        <v>73</v>
      </c>
      <c r="H170" s="6">
        <f t="shared" si="2"/>
        <v>35656240.229999997</v>
      </c>
    </row>
    <row r="171" spans="1:8" x14ac:dyDescent="0.2">
      <c r="A171" s="2" t="s">
        <v>225</v>
      </c>
      <c r="B171" s="2" t="s">
        <v>214</v>
      </c>
      <c r="C171" s="2" t="s">
        <v>44</v>
      </c>
      <c r="D171" s="3">
        <v>711</v>
      </c>
      <c r="E171" s="4" t="s">
        <v>24</v>
      </c>
      <c r="F171" s="5">
        <v>1.07</v>
      </c>
      <c r="G171" s="4" t="s">
        <v>25</v>
      </c>
      <c r="H171" s="6">
        <f t="shared" si="2"/>
        <v>760.7700000000001</v>
      </c>
    </row>
    <row r="172" spans="1:8" x14ac:dyDescent="0.2">
      <c r="A172" s="2" t="s">
        <v>226</v>
      </c>
      <c r="B172" s="2" t="s">
        <v>214</v>
      </c>
      <c r="C172" s="2" t="s">
        <v>52</v>
      </c>
      <c r="D172" s="3">
        <v>4012</v>
      </c>
      <c r="E172" s="4" t="s">
        <v>53</v>
      </c>
      <c r="F172" s="5">
        <v>11.78</v>
      </c>
      <c r="G172" s="4" t="s">
        <v>54</v>
      </c>
      <c r="H172" s="6">
        <f t="shared" si="2"/>
        <v>47261.36</v>
      </c>
    </row>
    <row r="173" spans="1:8" x14ac:dyDescent="0.2">
      <c r="A173" s="2" t="s">
        <v>227</v>
      </c>
      <c r="B173" s="2" t="s">
        <v>214</v>
      </c>
      <c r="C173" s="2" t="s">
        <v>42</v>
      </c>
      <c r="D173" s="3">
        <v>3910</v>
      </c>
      <c r="E173" s="4" t="s">
        <v>24</v>
      </c>
      <c r="F173" s="5">
        <v>5.44</v>
      </c>
      <c r="G173" s="4" t="s">
        <v>25</v>
      </c>
      <c r="H173" s="6">
        <f t="shared" si="2"/>
        <v>21270.400000000001</v>
      </c>
    </row>
    <row r="174" spans="1:8" x14ac:dyDescent="0.2">
      <c r="A174" s="2" t="s">
        <v>228</v>
      </c>
      <c r="B174" s="2" t="s">
        <v>214</v>
      </c>
      <c r="C174" s="2" t="s">
        <v>48</v>
      </c>
      <c r="D174" s="3">
        <v>3681</v>
      </c>
      <c r="E174" s="4" t="s">
        <v>24</v>
      </c>
      <c r="F174" s="5">
        <v>0.17</v>
      </c>
      <c r="G174" s="4" t="s">
        <v>25</v>
      </c>
      <c r="H174" s="6">
        <f t="shared" si="2"/>
        <v>625.7700000000001</v>
      </c>
    </row>
    <row r="175" spans="1:8" x14ac:dyDescent="0.2">
      <c r="A175" s="2" t="s">
        <v>229</v>
      </c>
      <c r="B175" s="2" t="s">
        <v>214</v>
      </c>
      <c r="C175" s="2" t="s">
        <v>27</v>
      </c>
      <c r="D175" s="3">
        <v>2420</v>
      </c>
      <c r="E175" s="4" t="s">
        <v>20</v>
      </c>
      <c r="F175" s="5">
        <v>1.47</v>
      </c>
      <c r="G175" s="4" t="s">
        <v>21</v>
      </c>
      <c r="H175" s="6">
        <f t="shared" si="2"/>
        <v>3557.4</v>
      </c>
    </row>
    <row r="176" spans="1:8" x14ac:dyDescent="0.2">
      <c r="A176" s="2" t="s">
        <v>230</v>
      </c>
      <c r="B176" s="2" t="s">
        <v>214</v>
      </c>
      <c r="C176" s="2" t="s">
        <v>42</v>
      </c>
      <c r="D176" s="3">
        <v>2518</v>
      </c>
      <c r="E176" s="4" t="s">
        <v>24</v>
      </c>
      <c r="F176" s="5">
        <v>5.49</v>
      </c>
      <c r="G176" s="4" t="s">
        <v>25</v>
      </c>
      <c r="H176" s="6">
        <f t="shared" si="2"/>
        <v>13823.82</v>
      </c>
    </row>
    <row r="177" spans="1:8" x14ac:dyDescent="0.2">
      <c r="A177" s="2" t="s">
        <v>231</v>
      </c>
      <c r="B177" s="2" t="s">
        <v>214</v>
      </c>
      <c r="C177" s="2" t="s">
        <v>19</v>
      </c>
      <c r="D177" s="3">
        <v>3886</v>
      </c>
      <c r="E177" s="4" t="s">
        <v>20</v>
      </c>
      <c r="F177" s="5">
        <v>1.43</v>
      </c>
      <c r="G177" s="4" t="s">
        <v>21</v>
      </c>
      <c r="H177" s="6">
        <f t="shared" si="2"/>
        <v>5556.98</v>
      </c>
    </row>
    <row r="178" spans="1:8" x14ac:dyDescent="0.2">
      <c r="A178" s="2" t="s">
        <v>232</v>
      </c>
      <c r="B178" s="2" t="s">
        <v>214</v>
      </c>
      <c r="C178" s="2" t="s">
        <v>19</v>
      </c>
      <c r="D178" s="3">
        <v>3495</v>
      </c>
      <c r="E178" s="4" t="s">
        <v>20</v>
      </c>
      <c r="F178" s="5">
        <v>1.7</v>
      </c>
      <c r="G178" s="4" t="s">
        <v>21</v>
      </c>
      <c r="H178" s="6">
        <f t="shared" si="2"/>
        <v>5941.5</v>
      </c>
    </row>
    <row r="179" spans="1:8" x14ac:dyDescent="0.2">
      <c r="A179" s="2" t="s">
        <v>233</v>
      </c>
      <c r="B179" s="2" t="s">
        <v>214</v>
      </c>
      <c r="C179" s="2" t="s">
        <v>29</v>
      </c>
      <c r="D179" s="3">
        <v>2719</v>
      </c>
      <c r="E179" s="4" t="s">
        <v>30</v>
      </c>
      <c r="F179" s="5">
        <v>1.42</v>
      </c>
      <c r="G179" s="4" t="s">
        <v>31</v>
      </c>
      <c r="H179" s="6">
        <f t="shared" si="2"/>
        <v>3860.98</v>
      </c>
    </row>
    <row r="180" spans="1:8" x14ac:dyDescent="0.2">
      <c r="A180" s="2" t="s">
        <v>234</v>
      </c>
      <c r="B180" s="2" t="s">
        <v>214</v>
      </c>
      <c r="C180" s="2" t="s">
        <v>23</v>
      </c>
      <c r="D180" s="3">
        <v>2229</v>
      </c>
      <c r="E180" s="4" t="s">
        <v>24</v>
      </c>
      <c r="F180" s="5">
        <v>13.84</v>
      </c>
      <c r="G180" s="4" t="s">
        <v>25</v>
      </c>
      <c r="H180" s="6">
        <f t="shared" si="2"/>
        <v>30849.360000000001</v>
      </c>
    </row>
    <row r="181" spans="1:8" x14ac:dyDescent="0.2">
      <c r="A181" s="2" t="s">
        <v>235</v>
      </c>
      <c r="B181" s="2" t="s">
        <v>214</v>
      </c>
      <c r="C181" s="2" t="s">
        <v>42</v>
      </c>
      <c r="D181" s="3">
        <v>998</v>
      </c>
      <c r="E181" s="4" t="s">
        <v>24</v>
      </c>
      <c r="F181" s="5">
        <v>5.66</v>
      </c>
      <c r="G181" s="4" t="s">
        <v>25</v>
      </c>
      <c r="H181" s="6">
        <f t="shared" si="2"/>
        <v>5648.68</v>
      </c>
    </row>
    <row r="182" spans="1:8" x14ac:dyDescent="0.2">
      <c r="A182" s="2" t="s">
        <v>236</v>
      </c>
      <c r="B182" s="2" t="s">
        <v>214</v>
      </c>
      <c r="C182" s="2" t="s">
        <v>57</v>
      </c>
      <c r="D182" s="3">
        <v>989</v>
      </c>
      <c r="E182" s="4" t="s">
        <v>20</v>
      </c>
      <c r="F182" s="5">
        <v>0.9</v>
      </c>
      <c r="G182" s="4" t="s">
        <v>21</v>
      </c>
      <c r="H182" s="6">
        <f t="shared" si="2"/>
        <v>890.1</v>
      </c>
    </row>
    <row r="183" spans="1:8" x14ac:dyDescent="0.2">
      <c r="A183" s="2" t="s">
        <v>237</v>
      </c>
      <c r="B183" s="2" t="s">
        <v>214</v>
      </c>
      <c r="C183" s="2" t="s">
        <v>118</v>
      </c>
      <c r="D183" s="3">
        <v>1579</v>
      </c>
      <c r="E183" s="4" t="s">
        <v>24</v>
      </c>
      <c r="F183" s="5">
        <v>0.55000000000000004</v>
      </c>
      <c r="G183" s="4" t="s">
        <v>25</v>
      </c>
      <c r="H183" s="6">
        <f t="shared" si="2"/>
        <v>868.45</v>
      </c>
    </row>
    <row r="184" spans="1:8" x14ac:dyDescent="0.2">
      <c r="A184" s="2" t="s">
        <v>238</v>
      </c>
      <c r="B184" s="2" t="s">
        <v>214</v>
      </c>
      <c r="C184" s="2" t="s">
        <v>48</v>
      </c>
      <c r="D184" s="3">
        <v>2275</v>
      </c>
      <c r="E184" s="4" t="s">
        <v>24</v>
      </c>
      <c r="F184" s="5">
        <v>0.16</v>
      </c>
      <c r="G184" s="4" t="s">
        <v>25</v>
      </c>
      <c r="H184" s="6">
        <f t="shared" si="2"/>
        <v>364</v>
      </c>
    </row>
    <row r="185" spans="1:8" x14ac:dyDescent="0.2">
      <c r="A185" s="2" t="s">
        <v>239</v>
      </c>
      <c r="B185" s="2" t="s">
        <v>214</v>
      </c>
      <c r="C185" s="2" t="s">
        <v>78</v>
      </c>
      <c r="D185" s="3">
        <v>4898</v>
      </c>
      <c r="E185" s="4" t="s">
        <v>38</v>
      </c>
      <c r="F185" s="5">
        <v>1.98</v>
      </c>
      <c r="G185" s="4" t="s">
        <v>39</v>
      </c>
      <c r="H185" s="6">
        <f t="shared" si="2"/>
        <v>9698.0399999999991</v>
      </c>
    </row>
    <row r="186" spans="1:8" x14ac:dyDescent="0.2">
      <c r="A186" s="2" t="s">
        <v>240</v>
      </c>
      <c r="B186" s="2" t="s">
        <v>214</v>
      </c>
      <c r="C186" s="2" t="s">
        <v>50</v>
      </c>
      <c r="D186" s="3">
        <v>1600</v>
      </c>
      <c r="E186" s="4" t="s">
        <v>20</v>
      </c>
      <c r="F186" s="5">
        <v>0.88</v>
      </c>
      <c r="G186" s="4" t="s">
        <v>21</v>
      </c>
      <c r="H186" s="6">
        <f t="shared" si="2"/>
        <v>1408</v>
      </c>
    </row>
    <row r="187" spans="1:8" x14ac:dyDescent="0.2">
      <c r="A187" s="2" t="s">
        <v>241</v>
      </c>
      <c r="B187" s="2" t="s">
        <v>214</v>
      </c>
      <c r="C187" s="2" t="s">
        <v>19</v>
      </c>
      <c r="D187" s="3">
        <v>1479</v>
      </c>
      <c r="E187" s="4" t="s">
        <v>20</v>
      </c>
      <c r="F187" s="5">
        <v>1.28</v>
      </c>
      <c r="G187" s="4" t="s">
        <v>21</v>
      </c>
      <c r="H187" s="6">
        <f t="shared" si="2"/>
        <v>1893.1200000000001</v>
      </c>
    </row>
    <row r="188" spans="1:8" x14ac:dyDescent="0.2">
      <c r="A188" s="2" t="s">
        <v>242</v>
      </c>
      <c r="B188" s="2" t="s">
        <v>214</v>
      </c>
      <c r="C188" s="2" t="s">
        <v>29</v>
      </c>
      <c r="D188" s="3">
        <v>1046</v>
      </c>
      <c r="E188" s="4" t="s">
        <v>30</v>
      </c>
      <c r="F188" s="5">
        <v>1.33</v>
      </c>
      <c r="G188" s="4" t="s">
        <v>31</v>
      </c>
      <c r="H188" s="6">
        <f t="shared" si="2"/>
        <v>1391.18</v>
      </c>
    </row>
    <row r="189" spans="1:8" x14ac:dyDescent="0.2">
      <c r="A189" s="2" t="s">
        <v>243</v>
      </c>
      <c r="B189" s="2" t="s">
        <v>214</v>
      </c>
      <c r="C189" s="2" t="s">
        <v>37</v>
      </c>
      <c r="D189" s="3">
        <v>4543</v>
      </c>
      <c r="E189" s="4" t="s">
        <v>38</v>
      </c>
      <c r="F189" s="5">
        <v>2.88</v>
      </c>
      <c r="G189" s="4" t="s">
        <v>39</v>
      </c>
      <c r="H189" s="6">
        <f t="shared" si="2"/>
        <v>13083.84</v>
      </c>
    </row>
    <row r="190" spans="1:8" x14ac:dyDescent="0.2">
      <c r="A190" s="2" t="s">
        <v>244</v>
      </c>
      <c r="B190" s="2" t="s">
        <v>214</v>
      </c>
      <c r="C190" s="2" t="s">
        <v>89</v>
      </c>
      <c r="D190" s="3">
        <v>4031</v>
      </c>
      <c r="E190" s="4" t="s">
        <v>30</v>
      </c>
      <c r="F190" s="5">
        <v>1.92</v>
      </c>
      <c r="G190" s="4" t="s">
        <v>31</v>
      </c>
      <c r="H190" s="6">
        <f t="shared" si="2"/>
        <v>7739.5199999999995</v>
      </c>
    </row>
    <row r="191" spans="1:8" x14ac:dyDescent="0.2">
      <c r="A191" s="2" t="s">
        <v>245</v>
      </c>
      <c r="B191" s="2" t="s">
        <v>214</v>
      </c>
      <c r="C191" s="2" t="s">
        <v>33</v>
      </c>
      <c r="D191" s="3">
        <v>4712</v>
      </c>
      <c r="E191" s="4" t="s">
        <v>34</v>
      </c>
      <c r="F191" s="5">
        <v>4.21</v>
      </c>
      <c r="G191" s="4" t="s">
        <v>35</v>
      </c>
      <c r="H191" s="6">
        <f t="shared" si="2"/>
        <v>19837.52</v>
      </c>
    </row>
    <row r="192" spans="1:8" x14ac:dyDescent="0.2">
      <c r="A192" s="2" t="s">
        <v>246</v>
      </c>
      <c r="B192" s="2" t="s">
        <v>214</v>
      </c>
      <c r="C192" s="2" t="s">
        <v>48</v>
      </c>
      <c r="D192" s="3">
        <v>3618</v>
      </c>
      <c r="E192" s="4" t="s">
        <v>24</v>
      </c>
      <c r="F192" s="5">
        <v>0.1</v>
      </c>
      <c r="G192" s="4" t="s">
        <v>25</v>
      </c>
      <c r="H192" s="6">
        <f t="shared" si="2"/>
        <v>361.8</v>
      </c>
    </row>
    <row r="193" spans="1:8" x14ac:dyDescent="0.2">
      <c r="A193" s="2" t="s">
        <v>247</v>
      </c>
      <c r="B193" s="2" t="s">
        <v>214</v>
      </c>
      <c r="C193" s="2" t="s">
        <v>37</v>
      </c>
      <c r="D193" s="3">
        <v>2078</v>
      </c>
      <c r="E193" s="4" t="s">
        <v>38</v>
      </c>
      <c r="F193" s="5">
        <v>4.82</v>
      </c>
      <c r="G193" s="4" t="s">
        <v>39</v>
      </c>
      <c r="H193" s="6">
        <f t="shared" si="2"/>
        <v>10015.960000000001</v>
      </c>
    </row>
    <row r="194" spans="1:8" x14ac:dyDescent="0.2">
      <c r="A194" s="2" t="s">
        <v>248</v>
      </c>
      <c r="B194" s="2" t="s">
        <v>214</v>
      </c>
      <c r="C194" s="2" t="s">
        <v>48</v>
      </c>
      <c r="D194" s="3">
        <v>944</v>
      </c>
      <c r="E194" s="4" t="s">
        <v>24</v>
      </c>
      <c r="F194" s="5">
        <v>0.17</v>
      </c>
      <c r="G194" s="4" t="s">
        <v>25</v>
      </c>
      <c r="H194" s="6">
        <f t="shared" ref="H194:H257" si="3">D194*F194</f>
        <v>160.48000000000002</v>
      </c>
    </row>
    <row r="195" spans="1:8" x14ac:dyDescent="0.2">
      <c r="A195" s="2" t="s">
        <v>249</v>
      </c>
      <c r="B195" s="2" t="s">
        <v>214</v>
      </c>
      <c r="C195" s="2" t="s">
        <v>67</v>
      </c>
      <c r="D195" s="3">
        <v>4038</v>
      </c>
      <c r="E195" s="4" t="s">
        <v>24</v>
      </c>
      <c r="F195" s="5">
        <v>0.32</v>
      </c>
      <c r="G195" s="4" t="s">
        <v>25</v>
      </c>
      <c r="H195" s="6">
        <f t="shared" si="3"/>
        <v>1292.1600000000001</v>
      </c>
    </row>
    <row r="196" spans="1:8" x14ac:dyDescent="0.2">
      <c r="A196" s="2" t="s">
        <v>250</v>
      </c>
      <c r="B196" s="2" t="s">
        <v>214</v>
      </c>
      <c r="C196" s="2" t="s">
        <v>37</v>
      </c>
      <c r="D196" s="3">
        <v>1252</v>
      </c>
      <c r="E196" s="4" t="s">
        <v>38</v>
      </c>
      <c r="F196" s="5">
        <v>2.4500000000000002</v>
      </c>
      <c r="G196" s="4" t="s">
        <v>39</v>
      </c>
      <c r="H196" s="6">
        <f t="shared" si="3"/>
        <v>3067.4</v>
      </c>
    </row>
    <row r="197" spans="1:8" x14ac:dyDescent="0.2">
      <c r="A197" s="2" t="s">
        <v>251</v>
      </c>
      <c r="B197" s="2" t="s">
        <v>214</v>
      </c>
      <c r="C197" s="2" t="s">
        <v>46</v>
      </c>
      <c r="D197" s="3">
        <v>2499</v>
      </c>
      <c r="E197" s="4" t="s">
        <v>20</v>
      </c>
      <c r="F197" s="5">
        <v>2.17</v>
      </c>
      <c r="G197" s="4" t="s">
        <v>21</v>
      </c>
      <c r="H197" s="6">
        <f t="shared" si="3"/>
        <v>5422.83</v>
      </c>
    </row>
    <row r="198" spans="1:8" x14ac:dyDescent="0.2">
      <c r="A198" s="2" t="s">
        <v>252</v>
      </c>
      <c r="B198" s="2" t="s">
        <v>214</v>
      </c>
      <c r="C198" s="2" t="s">
        <v>42</v>
      </c>
      <c r="D198" s="3">
        <v>980</v>
      </c>
      <c r="E198" s="4" t="s">
        <v>24</v>
      </c>
      <c r="F198" s="5">
        <v>5.17</v>
      </c>
      <c r="G198" s="4" t="s">
        <v>25</v>
      </c>
      <c r="H198" s="6">
        <f t="shared" si="3"/>
        <v>5066.6000000000004</v>
      </c>
    </row>
    <row r="199" spans="1:8" x14ac:dyDescent="0.2">
      <c r="A199" s="2" t="s">
        <v>253</v>
      </c>
      <c r="B199" s="2" t="s">
        <v>214</v>
      </c>
      <c r="C199" s="2" t="s">
        <v>52</v>
      </c>
      <c r="D199" s="3">
        <v>4976</v>
      </c>
      <c r="E199" s="4" t="s">
        <v>53</v>
      </c>
      <c r="F199" s="5">
        <v>11.98</v>
      </c>
      <c r="G199" s="4" t="s">
        <v>54</v>
      </c>
      <c r="H199" s="6">
        <f t="shared" si="3"/>
        <v>59612.480000000003</v>
      </c>
    </row>
    <row r="200" spans="1:8" x14ac:dyDescent="0.2">
      <c r="A200" s="2" t="s">
        <v>254</v>
      </c>
      <c r="B200" s="2" t="s">
        <v>214</v>
      </c>
      <c r="C200" s="2" t="s">
        <v>147</v>
      </c>
      <c r="D200" s="3">
        <v>1858</v>
      </c>
      <c r="E200" s="4" t="s">
        <v>53</v>
      </c>
      <c r="F200" s="5">
        <v>14.21</v>
      </c>
      <c r="G200" s="4" t="s">
        <v>54</v>
      </c>
      <c r="H200" s="6">
        <f t="shared" si="3"/>
        <v>26402.18</v>
      </c>
    </row>
    <row r="201" spans="1:8" x14ac:dyDescent="0.2">
      <c r="A201" s="2" t="s">
        <v>255</v>
      </c>
      <c r="B201" s="2" t="s">
        <v>214</v>
      </c>
      <c r="C201" s="2" t="s">
        <v>67</v>
      </c>
      <c r="D201" s="3">
        <v>3700</v>
      </c>
      <c r="E201" s="4" t="s">
        <v>24</v>
      </c>
      <c r="F201" s="5">
        <v>0.56999999999999995</v>
      </c>
      <c r="G201" s="4" t="s">
        <v>25</v>
      </c>
      <c r="H201" s="6">
        <f t="shared" si="3"/>
        <v>2109</v>
      </c>
    </row>
    <row r="202" spans="1:8" x14ac:dyDescent="0.2">
      <c r="A202" s="2" t="s">
        <v>256</v>
      </c>
      <c r="B202" s="2" t="s">
        <v>214</v>
      </c>
      <c r="C202" s="2" t="s">
        <v>71</v>
      </c>
      <c r="D202" s="3">
        <v>4831</v>
      </c>
      <c r="E202" s="4" t="s">
        <v>72</v>
      </c>
      <c r="F202" s="5">
        <v>2994.02</v>
      </c>
      <c r="G202" s="4" t="s">
        <v>73</v>
      </c>
      <c r="H202" s="6">
        <f t="shared" si="3"/>
        <v>14464110.619999999</v>
      </c>
    </row>
    <row r="203" spans="1:8" x14ac:dyDescent="0.2">
      <c r="A203" s="2" t="s">
        <v>257</v>
      </c>
      <c r="B203" s="2" t="s">
        <v>214</v>
      </c>
      <c r="C203" s="2" t="s">
        <v>71</v>
      </c>
      <c r="D203" s="3">
        <v>4668</v>
      </c>
      <c r="E203" s="4" t="s">
        <v>72</v>
      </c>
      <c r="F203" s="5">
        <v>2772.62</v>
      </c>
      <c r="G203" s="4" t="s">
        <v>73</v>
      </c>
      <c r="H203" s="6">
        <f t="shared" si="3"/>
        <v>12942590.16</v>
      </c>
    </row>
    <row r="204" spans="1:8" x14ac:dyDescent="0.2">
      <c r="A204" s="2" t="s">
        <v>258</v>
      </c>
      <c r="B204" s="2" t="s">
        <v>214</v>
      </c>
      <c r="C204" s="2" t="s">
        <v>147</v>
      </c>
      <c r="D204" s="3">
        <v>822</v>
      </c>
      <c r="E204" s="4" t="s">
        <v>53</v>
      </c>
      <c r="F204" s="5">
        <v>15.58</v>
      </c>
      <c r="G204" s="4" t="s">
        <v>54</v>
      </c>
      <c r="H204" s="6">
        <f t="shared" si="3"/>
        <v>12806.76</v>
      </c>
    </row>
    <row r="205" spans="1:8" x14ac:dyDescent="0.2">
      <c r="A205" s="2" t="s">
        <v>259</v>
      </c>
      <c r="B205" s="2" t="s">
        <v>214</v>
      </c>
      <c r="C205" s="2" t="s">
        <v>44</v>
      </c>
      <c r="D205" s="3">
        <v>1738</v>
      </c>
      <c r="E205" s="4" t="s">
        <v>24</v>
      </c>
      <c r="F205" s="5">
        <v>1.0900000000000001</v>
      </c>
      <c r="G205" s="4" t="s">
        <v>25</v>
      </c>
      <c r="H205" s="6">
        <f t="shared" si="3"/>
        <v>1894.42</v>
      </c>
    </row>
    <row r="206" spans="1:8" x14ac:dyDescent="0.2">
      <c r="A206" s="2" t="s">
        <v>260</v>
      </c>
      <c r="B206" s="2" t="s">
        <v>214</v>
      </c>
      <c r="C206" s="2" t="s">
        <v>27</v>
      </c>
      <c r="D206" s="3">
        <v>1296</v>
      </c>
      <c r="E206" s="4" t="s">
        <v>20</v>
      </c>
      <c r="F206" s="5">
        <v>1.49</v>
      </c>
      <c r="G206" s="4" t="s">
        <v>21</v>
      </c>
      <c r="H206" s="6">
        <f t="shared" si="3"/>
        <v>1931.04</v>
      </c>
    </row>
    <row r="207" spans="1:8" x14ac:dyDescent="0.2">
      <c r="A207" s="2" t="s">
        <v>261</v>
      </c>
      <c r="B207" s="2" t="s">
        <v>214</v>
      </c>
      <c r="C207" s="2" t="s">
        <v>29</v>
      </c>
      <c r="D207" s="3">
        <v>624</v>
      </c>
      <c r="E207" s="4" t="s">
        <v>30</v>
      </c>
      <c r="F207" s="5">
        <v>1.19</v>
      </c>
      <c r="G207" s="4" t="s">
        <v>31</v>
      </c>
      <c r="H207" s="6">
        <f t="shared" si="3"/>
        <v>742.56</v>
      </c>
    </row>
    <row r="208" spans="1:8" x14ac:dyDescent="0.2">
      <c r="A208" s="2" t="s">
        <v>262</v>
      </c>
      <c r="B208" s="2" t="s">
        <v>214</v>
      </c>
      <c r="C208" s="2" t="s">
        <v>52</v>
      </c>
      <c r="D208" s="3">
        <v>3700</v>
      </c>
      <c r="E208" s="4" t="s">
        <v>53</v>
      </c>
      <c r="F208" s="5">
        <v>12.45</v>
      </c>
      <c r="G208" s="4" t="s">
        <v>54</v>
      </c>
      <c r="H208" s="6">
        <f t="shared" si="3"/>
        <v>46065</v>
      </c>
    </row>
    <row r="209" spans="1:8" x14ac:dyDescent="0.2">
      <c r="A209" s="2" t="s">
        <v>263</v>
      </c>
      <c r="B209" s="2" t="s">
        <v>214</v>
      </c>
      <c r="C209" s="2" t="s">
        <v>48</v>
      </c>
      <c r="D209" s="3">
        <v>2395</v>
      </c>
      <c r="E209" s="4" t="s">
        <v>24</v>
      </c>
      <c r="F209" s="5">
        <v>0.05</v>
      </c>
      <c r="G209" s="4" t="s">
        <v>25</v>
      </c>
      <c r="H209" s="6">
        <f t="shared" si="3"/>
        <v>119.75</v>
      </c>
    </row>
    <row r="210" spans="1:8" x14ac:dyDescent="0.2">
      <c r="A210" s="2" t="s">
        <v>264</v>
      </c>
      <c r="B210" s="2" t="s">
        <v>214</v>
      </c>
      <c r="C210" s="2" t="s">
        <v>71</v>
      </c>
      <c r="D210" s="3">
        <v>2326</v>
      </c>
      <c r="E210" s="4" t="s">
        <v>72</v>
      </c>
      <c r="F210" s="5">
        <v>2821.79</v>
      </c>
      <c r="G210" s="4" t="s">
        <v>73</v>
      </c>
      <c r="H210" s="6">
        <f t="shared" si="3"/>
        <v>6563483.54</v>
      </c>
    </row>
    <row r="211" spans="1:8" x14ac:dyDescent="0.2">
      <c r="A211" s="2" t="s">
        <v>265</v>
      </c>
      <c r="B211" s="2" t="s">
        <v>214</v>
      </c>
      <c r="C211" s="2" t="s">
        <v>23</v>
      </c>
      <c r="D211" s="3">
        <v>593</v>
      </c>
      <c r="E211" s="4" t="s">
        <v>24</v>
      </c>
      <c r="F211" s="5">
        <v>16.12</v>
      </c>
      <c r="G211" s="4" t="s">
        <v>25</v>
      </c>
      <c r="H211" s="6">
        <f t="shared" si="3"/>
        <v>9559.16</v>
      </c>
    </row>
    <row r="212" spans="1:8" x14ac:dyDescent="0.2">
      <c r="A212" s="2" t="s">
        <v>266</v>
      </c>
      <c r="B212" s="2" t="s">
        <v>214</v>
      </c>
      <c r="C212" s="2" t="s">
        <v>86</v>
      </c>
      <c r="D212" s="3">
        <v>4841</v>
      </c>
      <c r="E212" s="4" t="s">
        <v>72</v>
      </c>
      <c r="F212" s="5">
        <v>8725.66</v>
      </c>
      <c r="G212" s="4" t="s">
        <v>73</v>
      </c>
      <c r="H212" s="6">
        <f t="shared" si="3"/>
        <v>42240920.060000002</v>
      </c>
    </row>
    <row r="213" spans="1:8" x14ac:dyDescent="0.2">
      <c r="A213" s="2" t="s">
        <v>267</v>
      </c>
      <c r="B213" s="2" t="s">
        <v>214</v>
      </c>
      <c r="C213" s="2" t="s">
        <v>44</v>
      </c>
      <c r="D213" s="3">
        <v>3492</v>
      </c>
      <c r="E213" s="4" t="s">
        <v>24</v>
      </c>
      <c r="F213" s="5">
        <v>0.98</v>
      </c>
      <c r="G213" s="4" t="s">
        <v>25</v>
      </c>
      <c r="H213" s="6">
        <f t="shared" si="3"/>
        <v>3422.16</v>
      </c>
    </row>
    <row r="214" spans="1:8" x14ac:dyDescent="0.2">
      <c r="A214" s="2" t="s">
        <v>268</v>
      </c>
      <c r="B214" s="2" t="s">
        <v>214</v>
      </c>
      <c r="C214" s="2" t="s">
        <v>42</v>
      </c>
      <c r="D214" s="3">
        <v>1230</v>
      </c>
      <c r="E214" s="4" t="s">
        <v>24</v>
      </c>
      <c r="F214" s="5">
        <v>6.23</v>
      </c>
      <c r="G214" s="4" t="s">
        <v>25</v>
      </c>
      <c r="H214" s="6">
        <f t="shared" si="3"/>
        <v>7662.9000000000005</v>
      </c>
    </row>
    <row r="215" spans="1:8" x14ac:dyDescent="0.2">
      <c r="A215" s="2" t="s">
        <v>269</v>
      </c>
      <c r="B215" s="2" t="s">
        <v>214</v>
      </c>
      <c r="C215" s="2" t="s">
        <v>89</v>
      </c>
      <c r="D215" s="3">
        <v>594</v>
      </c>
      <c r="E215" s="4" t="s">
        <v>30</v>
      </c>
      <c r="F215" s="5">
        <v>1.87</v>
      </c>
      <c r="G215" s="4" t="s">
        <v>31</v>
      </c>
      <c r="H215" s="6">
        <f t="shared" si="3"/>
        <v>1110.78</v>
      </c>
    </row>
    <row r="216" spans="1:8" x14ac:dyDescent="0.2">
      <c r="A216" s="2" t="s">
        <v>270</v>
      </c>
      <c r="B216" s="2" t="s">
        <v>214</v>
      </c>
      <c r="C216" s="2" t="s">
        <v>71</v>
      </c>
      <c r="D216" s="3">
        <v>4884</v>
      </c>
      <c r="E216" s="4" t="s">
        <v>72</v>
      </c>
      <c r="F216" s="5">
        <v>2849.37</v>
      </c>
      <c r="G216" s="4" t="s">
        <v>73</v>
      </c>
      <c r="H216" s="6">
        <f t="shared" si="3"/>
        <v>13916323.08</v>
      </c>
    </row>
    <row r="217" spans="1:8" x14ac:dyDescent="0.2">
      <c r="A217" s="2" t="s">
        <v>271</v>
      </c>
      <c r="B217" s="2" t="s">
        <v>214</v>
      </c>
      <c r="C217" s="2" t="s">
        <v>46</v>
      </c>
      <c r="D217" s="3">
        <v>2374</v>
      </c>
      <c r="E217" s="4" t="s">
        <v>20</v>
      </c>
      <c r="F217" s="5">
        <v>2.88</v>
      </c>
      <c r="G217" s="4" t="s">
        <v>21</v>
      </c>
      <c r="H217" s="6">
        <f t="shared" si="3"/>
        <v>6837.12</v>
      </c>
    </row>
    <row r="218" spans="1:8" x14ac:dyDescent="0.2">
      <c r="A218" s="2" t="s">
        <v>272</v>
      </c>
      <c r="B218" s="2" t="s">
        <v>214</v>
      </c>
      <c r="C218" s="2" t="s">
        <v>23</v>
      </c>
      <c r="D218" s="3">
        <v>2501</v>
      </c>
      <c r="E218" s="4" t="s">
        <v>24</v>
      </c>
      <c r="F218" s="5">
        <v>16.2</v>
      </c>
      <c r="G218" s="4" t="s">
        <v>25</v>
      </c>
      <c r="H218" s="6">
        <f t="shared" si="3"/>
        <v>40516.199999999997</v>
      </c>
    </row>
    <row r="219" spans="1:8" x14ac:dyDescent="0.2">
      <c r="A219" s="2" t="s">
        <v>273</v>
      </c>
      <c r="B219" s="2" t="s">
        <v>214</v>
      </c>
      <c r="C219" s="2" t="s">
        <v>86</v>
      </c>
      <c r="D219" s="3">
        <v>4109</v>
      </c>
      <c r="E219" s="4" t="s">
        <v>72</v>
      </c>
      <c r="F219" s="5">
        <v>8555.9699999999993</v>
      </c>
      <c r="G219" s="4" t="s">
        <v>73</v>
      </c>
      <c r="H219" s="6">
        <f t="shared" si="3"/>
        <v>35156480.729999997</v>
      </c>
    </row>
    <row r="220" spans="1:8" x14ac:dyDescent="0.2">
      <c r="A220" s="2" t="s">
        <v>274</v>
      </c>
      <c r="B220" s="2" t="s">
        <v>214</v>
      </c>
      <c r="C220" s="2" t="s">
        <v>23</v>
      </c>
      <c r="D220" s="3">
        <v>668</v>
      </c>
      <c r="E220" s="4" t="s">
        <v>24</v>
      </c>
      <c r="F220" s="5">
        <v>15.59</v>
      </c>
      <c r="G220" s="4" t="s">
        <v>25</v>
      </c>
      <c r="H220" s="6">
        <f t="shared" si="3"/>
        <v>10414.120000000001</v>
      </c>
    </row>
    <row r="221" spans="1:8" x14ac:dyDescent="0.2">
      <c r="A221" s="2" t="s">
        <v>275</v>
      </c>
      <c r="B221" s="2" t="s">
        <v>214</v>
      </c>
      <c r="C221" s="2" t="s">
        <v>52</v>
      </c>
      <c r="D221" s="3">
        <v>2650</v>
      </c>
      <c r="E221" s="4" t="s">
        <v>53</v>
      </c>
      <c r="F221" s="5">
        <v>12.02</v>
      </c>
      <c r="G221" s="4" t="s">
        <v>54</v>
      </c>
      <c r="H221" s="6">
        <f t="shared" si="3"/>
        <v>31853</v>
      </c>
    </row>
    <row r="222" spans="1:8" x14ac:dyDescent="0.2">
      <c r="A222" s="2" t="s">
        <v>276</v>
      </c>
      <c r="B222" s="2" t="s">
        <v>214</v>
      </c>
      <c r="C222" s="2" t="s">
        <v>33</v>
      </c>
      <c r="D222" s="3">
        <v>758</v>
      </c>
      <c r="E222" s="4" t="s">
        <v>34</v>
      </c>
      <c r="F222" s="5">
        <v>4.07</v>
      </c>
      <c r="G222" s="4" t="s">
        <v>35</v>
      </c>
      <c r="H222" s="6">
        <f t="shared" si="3"/>
        <v>3085.0600000000004</v>
      </c>
    </row>
    <row r="223" spans="1:8" x14ac:dyDescent="0.2">
      <c r="A223" s="2" t="s">
        <v>277</v>
      </c>
      <c r="B223" s="2" t="s">
        <v>214</v>
      </c>
      <c r="C223" s="2" t="s">
        <v>46</v>
      </c>
      <c r="D223" s="3">
        <v>4819</v>
      </c>
      <c r="E223" s="4" t="s">
        <v>20</v>
      </c>
      <c r="F223" s="5">
        <v>3.9</v>
      </c>
      <c r="G223" s="4" t="s">
        <v>21</v>
      </c>
      <c r="H223" s="6">
        <f t="shared" si="3"/>
        <v>18794.099999999999</v>
      </c>
    </row>
    <row r="224" spans="1:8" x14ac:dyDescent="0.2">
      <c r="A224" s="2" t="s">
        <v>278</v>
      </c>
      <c r="B224" s="2" t="s">
        <v>214</v>
      </c>
      <c r="C224" s="2" t="s">
        <v>86</v>
      </c>
      <c r="D224" s="3">
        <v>4730</v>
      </c>
      <c r="E224" s="4" t="s">
        <v>72</v>
      </c>
      <c r="F224" s="5">
        <v>7856.32</v>
      </c>
      <c r="G224" s="4" t="s">
        <v>73</v>
      </c>
      <c r="H224" s="6">
        <f t="shared" si="3"/>
        <v>37160393.600000001</v>
      </c>
    </row>
    <row r="225" spans="1:8" x14ac:dyDescent="0.2">
      <c r="A225" s="2" t="s">
        <v>279</v>
      </c>
      <c r="B225" s="2" t="s">
        <v>214</v>
      </c>
      <c r="C225" s="2" t="s">
        <v>118</v>
      </c>
      <c r="D225" s="3">
        <v>3864</v>
      </c>
      <c r="E225" s="4" t="s">
        <v>24</v>
      </c>
      <c r="F225" s="5">
        <v>0.76</v>
      </c>
      <c r="G225" s="4" t="s">
        <v>25</v>
      </c>
      <c r="H225" s="6">
        <f t="shared" si="3"/>
        <v>2936.64</v>
      </c>
    </row>
    <row r="226" spans="1:8" x14ac:dyDescent="0.2">
      <c r="A226" s="2" t="s">
        <v>280</v>
      </c>
      <c r="B226" s="2" t="s">
        <v>214</v>
      </c>
      <c r="C226" s="2" t="s">
        <v>23</v>
      </c>
      <c r="D226" s="3">
        <v>2288</v>
      </c>
      <c r="E226" s="4" t="s">
        <v>24</v>
      </c>
      <c r="F226" s="5">
        <v>13.09</v>
      </c>
      <c r="G226" s="4" t="s">
        <v>25</v>
      </c>
      <c r="H226" s="6">
        <f t="shared" si="3"/>
        <v>29949.919999999998</v>
      </c>
    </row>
    <row r="227" spans="1:8" x14ac:dyDescent="0.2">
      <c r="A227" s="2" t="s">
        <v>281</v>
      </c>
      <c r="B227" s="2" t="s">
        <v>214</v>
      </c>
      <c r="C227" s="2" t="s">
        <v>46</v>
      </c>
      <c r="D227" s="3">
        <v>3580</v>
      </c>
      <c r="E227" s="4" t="s">
        <v>20</v>
      </c>
      <c r="F227" s="5">
        <v>3.27</v>
      </c>
      <c r="G227" s="4" t="s">
        <v>21</v>
      </c>
      <c r="H227" s="6">
        <f t="shared" si="3"/>
        <v>11706.6</v>
      </c>
    </row>
    <row r="228" spans="1:8" x14ac:dyDescent="0.2">
      <c r="A228" s="2" t="s">
        <v>282</v>
      </c>
      <c r="B228" s="2" t="s">
        <v>214</v>
      </c>
      <c r="C228" s="2" t="s">
        <v>48</v>
      </c>
      <c r="D228" s="3">
        <v>757</v>
      </c>
      <c r="E228" s="4" t="s">
        <v>24</v>
      </c>
      <c r="F228" s="5">
        <v>0.12</v>
      </c>
      <c r="G228" s="4" t="s">
        <v>25</v>
      </c>
      <c r="H228" s="6">
        <f t="shared" si="3"/>
        <v>90.84</v>
      </c>
    </row>
    <row r="229" spans="1:8" x14ac:dyDescent="0.2">
      <c r="A229" s="2" t="s">
        <v>283</v>
      </c>
      <c r="B229" s="2" t="s">
        <v>214</v>
      </c>
      <c r="C229" s="2" t="s">
        <v>52</v>
      </c>
      <c r="D229" s="3">
        <v>2740</v>
      </c>
      <c r="E229" s="4" t="s">
        <v>53</v>
      </c>
      <c r="F229" s="5">
        <v>10.61</v>
      </c>
      <c r="G229" s="4" t="s">
        <v>54</v>
      </c>
      <c r="H229" s="6">
        <f t="shared" si="3"/>
        <v>29071.399999999998</v>
      </c>
    </row>
    <row r="230" spans="1:8" x14ac:dyDescent="0.2">
      <c r="A230" s="2" t="s">
        <v>284</v>
      </c>
      <c r="B230" s="2" t="s">
        <v>214</v>
      </c>
      <c r="C230" s="2" t="s">
        <v>50</v>
      </c>
      <c r="D230" s="3">
        <v>1327</v>
      </c>
      <c r="E230" s="4" t="s">
        <v>20</v>
      </c>
      <c r="F230" s="5">
        <v>0.9</v>
      </c>
      <c r="G230" s="4" t="s">
        <v>21</v>
      </c>
      <c r="H230" s="6">
        <f t="shared" si="3"/>
        <v>1194.3</v>
      </c>
    </row>
    <row r="231" spans="1:8" x14ac:dyDescent="0.2">
      <c r="A231" s="2" t="s">
        <v>285</v>
      </c>
      <c r="B231" s="2" t="s">
        <v>214</v>
      </c>
      <c r="C231" s="2" t="s">
        <v>48</v>
      </c>
      <c r="D231" s="3">
        <v>2371</v>
      </c>
      <c r="E231" s="4" t="s">
        <v>24</v>
      </c>
      <c r="F231" s="5">
        <v>0.15</v>
      </c>
      <c r="G231" s="4" t="s">
        <v>25</v>
      </c>
      <c r="H231" s="6">
        <f t="shared" si="3"/>
        <v>355.65</v>
      </c>
    </row>
    <row r="232" spans="1:8" x14ac:dyDescent="0.2">
      <c r="A232" s="2" t="s">
        <v>286</v>
      </c>
      <c r="B232" s="2" t="s">
        <v>214</v>
      </c>
      <c r="C232" s="2" t="s">
        <v>67</v>
      </c>
      <c r="D232" s="3">
        <v>4516</v>
      </c>
      <c r="E232" s="4" t="s">
        <v>24</v>
      </c>
      <c r="F232" s="5">
        <v>0.31</v>
      </c>
      <c r="G232" s="4" t="s">
        <v>25</v>
      </c>
      <c r="H232" s="6">
        <f t="shared" si="3"/>
        <v>1399.96</v>
      </c>
    </row>
    <row r="233" spans="1:8" x14ac:dyDescent="0.2">
      <c r="A233" s="2" t="s">
        <v>287</v>
      </c>
      <c r="B233" s="2" t="s">
        <v>214</v>
      </c>
      <c r="C233" s="2" t="s">
        <v>27</v>
      </c>
      <c r="D233" s="3">
        <v>2586</v>
      </c>
      <c r="E233" s="4" t="s">
        <v>20</v>
      </c>
      <c r="F233" s="5">
        <v>1.5</v>
      </c>
      <c r="G233" s="4" t="s">
        <v>21</v>
      </c>
      <c r="H233" s="6">
        <f t="shared" si="3"/>
        <v>3879</v>
      </c>
    </row>
    <row r="234" spans="1:8" x14ac:dyDescent="0.2">
      <c r="A234" s="2" t="s">
        <v>288</v>
      </c>
      <c r="B234" s="2" t="s">
        <v>214</v>
      </c>
      <c r="C234" s="2" t="s">
        <v>50</v>
      </c>
      <c r="D234" s="3">
        <v>3321</v>
      </c>
      <c r="E234" s="4" t="s">
        <v>20</v>
      </c>
      <c r="F234" s="5">
        <v>1.22</v>
      </c>
      <c r="G234" s="4" t="s">
        <v>21</v>
      </c>
      <c r="H234" s="6">
        <f t="shared" si="3"/>
        <v>4051.62</v>
      </c>
    </row>
    <row r="235" spans="1:8" x14ac:dyDescent="0.2">
      <c r="A235" s="2" t="s">
        <v>289</v>
      </c>
      <c r="B235" s="2" t="s">
        <v>214</v>
      </c>
      <c r="C235" s="2" t="s">
        <v>33</v>
      </c>
      <c r="D235" s="3">
        <v>4454</v>
      </c>
      <c r="E235" s="4" t="s">
        <v>34</v>
      </c>
      <c r="F235" s="5">
        <v>4.6500000000000004</v>
      </c>
      <c r="G235" s="4" t="s">
        <v>35</v>
      </c>
      <c r="H235" s="6">
        <f t="shared" si="3"/>
        <v>20711.100000000002</v>
      </c>
    </row>
    <row r="236" spans="1:8" x14ac:dyDescent="0.2">
      <c r="A236" s="2" t="s">
        <v>290</v>
      </c>
      <c r="B236" s="2" t="s">
        <v>214</v>
      </c>
      <c r="C236" s="2" t="s">
        <v>37</v>
      </c>
      <c r="D236" s="3">
        <v>1546</v>
      </c>
      <c r="E236" s="4" t="s">
        <v>38</v>
      </c>
      <c r="F236" s="5">
        <v>3.56</v>
      </c>
      <c r="G236" s="4" t="s">
        <v>39</v>
      </c>
      <c r="H236" s="6">
        <f t="shared" si="3"/>
        <v>5503.76</v>
      </c>
    </row>
    <row r="237" spans="1:8" x14ac:dyDescent="0.2">
      <c r="A237" s="2" t="s">
        <v>291</v>
      </c>
      <c r="B237" s="2" t="s">
        <v>292</v>
      </c>
      <c r="C237" s="2" t="s">
        <v>147</v>
      </c>
      <c r="D237" s="3">
        <v>4093</v>
      </c>
      <c r="E237" s="4" t="s">
        <v>53</v>
      </c>
      <c r="F237" s="5">
        <v>13</v>
      </c>
      <c r="G237" s="4" t="s">
        <v>54</v>
      </c>
      <c r="H237" s="6">
        <f t="shared" si="3"/>
        <v>53209</v>
      </c>
    </row>
    <row r="238" spans="1:8" x14ac:dyDescent="0.2">
      <c r="A238" s="2" t="s">
        <v>293</v>
      </c>
      <c r="B238" s="2" t="s">
        <v>292</v>
      </c>
      <c r="C238" s="2" t="s">
        <v>37</v>
      </c>
      <c r="D238" s="3">
        <v>1677</v>
      </c>
      <c r="E238" s="4" t="s">
        <v>38</v>
      </c>
      <c r="F238" s="5">
        <v>2.8</v>
      </c>
      <c r="G238" s="4" t="s">
        <v>39</v>
      </c>
      <c r="H238" s="6">
        <f t="shared" si="3"/>
        <v>4695.5999999999995</v>
      </c>
    </row>
    <row r="239" spans="1:8" x14ac:dyDescent="0.2">
      <c r="A239" s="2" t="s">
        <v>294</v>
      </c>
      <c r="B239" s="2" t="s">
        <v>292</v>
      </c>
      <c r="C239" s="2" t="s">
        <v>89</v>
      </c>
      <c r="D239" s="3">
        <v>2369</v>
      </c>
      <c r="E239" s="4" t="s">
        <v>30</v>
      </c>
      <c r="F239" s="5">
        <v>2.33</v>
      </c>
      <c r="G239" s="4" t="s">
        <v>31</v>
      </c>
      <c r="H239" s="6">
        <f t="shared" si="3"/>
        <v>5519.77</v>
      </c>
    </row>
    <row r="240" spans="1:8" x14ac:dyDescent="0.2">
      <c r="A240" s="2" t="s">
        <v>295</v>
      </c>
      <c r="B240" s="2" t="s">
        <v>292</v>
      </c>
      <c r="C240" s="2" t="s">
        <v>48</v>
      </c>
      <c r="D240" s="3">
        <v>1004</v>
      </c>
      <c r="E240" s="4" t="s">
        <v>24</v>
      </c>
      <c r="F240" s="5">
        <v>0.05</v>
      </c>
      <c r="G240" s="4" t="s">
        <v>25</v>
      </c>
      <c r="H240" s="6">
        <f t="shared" si="3"/>
        <v>50.2</v>
      </c>
    </row>
    <row r="241" spans="1:8" x14ac:dyDescent="0.2">
      <c r="A241" s="2" t="s">
        <v>296</v>
      </c>
      <c r="B241" s="2" t="s">
        <v>292</v>
      </c>
      <c r="C241" s="2" t="s">
        <v>147</v>
      </c>
      <c r="D241" s="3">
        <v>1970</v>
      </c>
      <c r="E241" s="4" t="s">
        <v>53</v>
      </c>
      <c r="F241" s="5">
        <v>13.68</v>
      </c>
      <c r="G241" s="4" t="s">
        <v>54</v>
      </c>
      <c r="H241" s="6">
        <f t="shared" si="3"/>
        <v>26949.599999999999</v>
      </c>
    </row>
    <row r="242" spans="1:8" x14ac:dyDescent="0.2">
      <c r="A242" s="2" t="s">
        <v>297</v>
      </c>
      <c r="B242" s="2" t="s">
        <v>292</v>
      </c>
      <c r="C242" s="2" t="s">
        <v>71</v>
      </c>
      <c r="D242" s="3">
        <v>4522</v>
      </c>
      <c r="E242" s="4" t="s">
        <v>72</v>
      </c>
      <c r="F242" s="5">
        <v>2408.1999999999998</v>
      </c>
      <c r="G242" s="4" t="s">
        <v>73</v>
      </c>
      <c r="H242" s="6">
        <f t="shared" si="3"/>
        <v>10889880.399999999</v>
      </c>
    </row>
    <row r="243" spans="1:8" x14ac:dyDescent="0.2">
      <c r="A243" s="2" t="s">
        <v>298</v>
      </c>
      <c r="B243" s="2" t="s">
        <v>292</v>
      </c>
      <c r="C243" s="2" t="s">
        <v>52</v>
      </c>
      <c r="D243" s="3">
        <v>773</v>
      </c>
      <c r="E243" s="4" t="s">
        <v>53</v>
      </c>
      <c r="F243" s="5">
        <v>10.119999999999999</v>
      </c>
      <c r="G243" s="4" t="s">
        <v>54</v>
      </c>
      <c r="H243" s="6">
        <f t="shared" si="3"/>
        <v>7822.7599999999993</v>
      </c>
    </row>
    <row r="244" spans="1:8" x14ac:dyDescent="0.2">
      <c r="A244" s="2" t="s">
        <v>299</v>
      </c>
      <c r="B244" s="2" t="s">
        <v>292</v>
      </c>
      <c r="C244" s="2" t="s">
        <v>50</v>
      </c>
      <c r="D244" s="3">
        <v>3790</v>
      </c>
      <c r="E244" s="4" t="s">
        <v>20</v>
      </c>
      <c r="F244" s="5">
        <v>1.27</v>
      </c>
      <c r="G244" s="4" t="s">
        <v>21</v>
      </c>
      <c r="H244" s="6">
        <f t="shared" si="3"/>
        <v>4813.3</v>
      </c>
    </row>
    <row r="245" spans="1:8" x14ac:dyDescent="0.2">
      <c r="A245" s="2" t="s">
        <v>300</v>
      </c>
      <c r="B245" s="2" t="s">
        <v>292</v>
      </c>
      <c r="C245" s="2" t="s">
        <v>89</v>
      </c>
      <c r="D245" s="3">
        <v>4092</v>
      </c>
      <c r="E245" s="4" t="s">
        <v>30</v>
      </c>
      <c r="F245" s="5">
        <v>2.92</v>
      </c>
      <c r="G245" s="4" t="s">
        <v>31</v>
      </c>
      <c r="H245" s="6">
        <f t="shared" si="3"/>
        <v>11948.64</v>
      </c>
    </row>
    <row r="246" spans="1:8" x14ac:dyDescent="0.2">
      <c r="A246" s="2" t="s">
        <v>301</v>
      </c>
      <c r="B246" s="2" t="s">
        <v>292</v>
      </c>
      <c r="C246" s="2" t="s">
        <v>71</v>
      </c>
      <c r="D246" s="3">
        <v>4178</v>
      </c>
      <c r="E246" s="4" t="s">
        <v>72</v>
      </c>
      <c r="F246" s="5">
        <v>2823.25</v>
      </c>
      <c r="G246" s="4" t="s">
        <v>73</v>
      </c>
      <c r="H246" s="6">
        <f t="shared" si="3"/>
        <v>11795538.5</v>
      </c>
    </row>
    <row r="247" spans="1:8" x14ac:dyDescent="0.2">
      <c r="A247" s="2" t="s">
        <v>302</v>
      </c>
      <c r="B247" s="2" t="s">
        <v>292</v>
      </c>
      <c r="C247" s="2" t="s">
        <v>52</v>
      </c>
      <c r="D247" s="3">
        <v>3962</v>
      </c>
      <c r="E247" s="4" t="s">
        <v>53</v>
      </c>
      <c r="F247" s="5">
        <v>13.9</v>
      </c>
      <c r="G247" s="4" t="s">
        <v>54</v>
      </c>
      <c r="H247" s="6">
        <f t="shared" si="3"/>
        <v>55071.8</v>
      </c>
    </row>
    <row r="248" spans="1:8" x14ac:dyDescent="0.2">
      <c r="A248" s="2" t="s">
        <v>303</v>
      </c>
      <c r="B248" s="2" t="s">
        <v>292</v>
      </c>
      <c r="C248" s="2" t="s">
        <v>42</v>
      </c>
      <c r="D248" s="3">
        <v>3751</v>
      </c>
      <c r="E248" s="4" t="s">
        <v>24</v>
      </c>
      <c r="F248" s="5">
        <v>5.15</v>
      </c>
      <c r="G248" s="4" t="s">
        <v>25</v>
      </c>
      <c r="H248" s="6">
        <f t="shared" si="3"/>
        <v>19317.650000000001</v>
      </c>
    </row>
    <row r="249" spans="1:8" x14ac:dyDescent="0.2">
      <c r="A249" s="2" t="s">
        <v>304</v>
      </c>
      <c r="B249" s="2" t="s">
        <v>292</v>
      </c>
      <c r="C249" s="2" t="s">
        <v>67</v>
      </c>
      <c r="D249" s="3">
        <v>1571</v>
      </c>
      <c r="E249" s="4" t="s">
        <v>24</v>
      </c>
      <c r="F249" s="5">
        <v>0.57999999999999996</v>
      </c>
      <c r="G249" s="4" t="s">
        <v>25</v>
      </c>
      <c r="H249" s="6">
        <f t="shared" si="3"/>
        <v>911.18</v>
      </c>
    </row>
    <row r="250" spans="1:8" x14ac:dyDescent="0.2">
      <c r="A250" s="2" t="s">
        <v>305</v>
      </c>
      <c r="B250" s="2" t="s">
        <v>292</v>
      </c>
      <c r="C250" s="2" t="s">
        <v>78</v>
      </c>
      <c r="D250" s="3">
        <v>1128</v>
      </c>
      <c r="E250" s="4" t="s">
        <v>38</v>
      </c>
      <c r="F250" s="5">
        <v>2.97</v>
      </c>
      <c r="G250" s="4" t="s">
        <v>39</v>
      </c>
      <c r="H250" s="6">
        <f t="shared" si="3"/>
        <v>3350.1600000000003</v>
      </c>
    </row>
    <row r="251" spans="1:8" x14ac:dyDescent="0.2">
      <c r="A251" s="2" t="s">
        <v>306</v>
      </c>
      <c r="B251" s="2" t="s">
        <v>292</v>
      </c>
      <c r="C251" s="2" t="s">
        <v>86</v>
      </c>
      <c r="D251" s="3">
        <v>3409</v>
      </c>
      <c r="E251" s="4" t="s">
        <v>72</v>
      </c>
      <c r="F251" s="5">
        <v>8275.83</v>
      </c>
      <c r="G251" s="4" t="s">
        <v>73</v>
      </c>
      <c r="H251" s="6">
        <f t="shared" si="3"/>
        <v>28212304.469999999</v>
      </c>
    </row>
    <row r="252" spans="1:8" x14ac:dyDescent="0.2">
      <c r="A252" s="2" t="s">
        <v>307</v>
      </c>
      <c r="B252" s="2" t="s">
        <v>292</v>
      </c>
      <c r="C252" s="2" t="s">
        <v>78</v>
      </c>
      <c r="D252" s="3">
        <v>2198</v>
      </c>
      <c r="E252" s="4" t="s">
        <v>38</v>
      </c>
      <c r="F252" s="5">
        <v>2.89</v>
      </c>
      <c r="G252" s="4" t="s">
        <v>39</v>
      </c>
      <c r="H252" s="6">
        <f t="shared" si="3"/>
        <v>6352.22</v>
      </c>
    </row>
    <row r="253" spans="1:8" x14ac:dyDescent="0.2">
      <c r="A253" s="2" t="s">
        <v>308</v>
      </c>
      <c r="B253" s="2" t="s">
        <v>292</v>
      </c>
      <c r="C253" s="2" t="s">
        <v>71</v>
      </c>
      <c r="D253" s="3">
        <v>2455</v>
      </c>
      <c r="E253" s="4" t="s">
        <v>72</v>
      </c>
      <c r="F253" s="5">
        <v>2902.49</v>
      </c>
      <c r="G253" s="4" t="s">
        <v>73</v>
      </c>
      <c r="H253" s="6">
        <f t="shared" si="3"/>
        <v>7125612.9499999993</v>
      </c>
    </row>
    <row r="254" spans="1:8" x14ac:dyDescent="0.2">
      <c r="A254" s="2" t="s">
        <v>309</v>
      </c>
      <c r="B254" s="2" t="s">
        <v>292</v>
      </c>
      <c r="C254" s="2" t="s">
        <v>46</v>
      </c>
      <c r="D254" s="3">
        <v>4021</v>
      </c>
      <c r="E254" s="4" t="s">
        <v>20</v>
      </c>
      <c r="F254" s="5">
        <v>3.73</v>
      </c>
      <c r="G254" s="4" t="s">
        <v>21</v>
      </c>
      <c r="H254" s="6">
        <f t="shared" si="3"/>
        <v>14998.33</v>
      </c>
    </row>
    <row r="255" spans="1:8" x14ac:dyDescent="0.2">
      <c r="A255" s="2" t="s">
        <v>310</v>
      </c>
      <c r="B255" s="2" t="s">
        <v>292</v>
      </c>
      <c r="C255" s="2" t="s">
        <v>23</v>
      </c>
      <c r="D255" s="3">
        <v>4422</v>
      </c>
      <c r="E255" s="4" t="s">
        <v>24</v>
      </c>
      <c r="F255" s="5">
        <v>14.91</v>
      </c>
      <c r="G255" s="4" t="s">
        <v>25</v>
      </c>
      <c r="H255" s="6">
        <f t="shared" si="3"/>
        <v>65932.02</v>
      </c>
    </row>
    <row r="256" spans="1:8" x14ac:dyDescent="0.2">
      <c r="A256" s="2" t="s">
        <v>311</v>
      </c>
      <c r="B256" s="2" t="s">
        <v>292</v>
      </c>
      <c r="C256" s="2" t="s">
        <v>57</v>
      </c>
      <c r="D256" s="3">
        <v>4531</v>
      </c>
      <c r="E256" s="4" t="s">
        <v>20</v>
      </c>
      <c r="F256" s="5">
        <v>0.91</v>
      </c>
      <c r="G256" s="4" t="s">
        <v>21</v>
      </c>
      <c r="H256" s="6">
        <f t="shared" si="3"/>
        <v>4123.21</v>
      </c>
    </row>
    <row r="257" spans="1:8" x14ac:dyDescent="0.2">
      <c r="A257" s="2" t="s">
        <v>312</v>
      </c>
      <c r="B257" s="2" t="s">
        <v>292</v>
      </c>
      <c r="C257" s="2" t="s">
        <v>67</v>
      </c>
      <c r="D257" s="3">
        <v>3740</v>
      </c>
      <c r="E257" s="4" t="s">
        <v>24</v>
      </c>
      <c r="F257" s="5">
        <v>0.57999999999999996</v>
      </c>
      <c r="G257" s="4" t="s">
        <v>25</v>
      </c>
      <c r="H257" s="6">
        <f t="shared" si="3"/>
        <v>2169.1999999999998</v>
      </c>
    </row>
    <row r="258" spans="1:8" x14ac:dyDescent="0.2">
      <c r="A258" s="2" t="s">
        <v>313</v>
      </c>
      <c r="B258" s="2" t="s">
        <v>292</v>
      </c>
      <c r="C258" s="2" t="s">
        <v>44</v>
      </c>
      <c r="D258" s="3">
        <v>1966</v>
      </c>
      <c r="E258" s="4" t="s">
        <v>24</v>
      </c>
      <c r="F258" s="5">
        <v>1.3</v>
      </c>
      <c r="G258" s="4" t="s">
        <v>25</v>
      </c>
      <c r="H258" s="6">
        <f t="shared" ref="H258:H321" si="4">D258*F258</f>
        <v>2555.8000000000002</v>
      </c>
    </row>
    <row r="259" spans="1:8" x14ac:dyDescent="0.2">
      <c r="A259" s="2" t="s">
        <v>314</v>
      </c>
      <c r="B259" s="2" t="s">
        <v>292</v>
      </c>
      <c r="C259" s="2" t="s">
        <v>42</v>
      </c>
      <c r="D259" s="3">
        <v>3375</v>
      </c>
      <c r="E259" s="4" t="s">
        <v>24</v>
      </c>
      <c r="F259" s="5">
        <v>3.63</v>
      </c>
      <c r="G259" s="4" t="s">
        <v>25</v>
      </c>
      <c r="H259" s="6">
        <f t="shared" si="4"/>
        <v>12251.25</v>
      </c>
    </row>
    <row r="260" spans="1:8" x14ac:dyDescent="0.2">
      <c r="A260" s="2" t="s">
        <v>315</v>
      </c>
      <c r="B260" s="2" t="s">
        <v>292</v>
      </c>
      <c r="C260" s="2" t="s">
        <v>48</v>
      </c>
      <c r="D260" s="3">
        <v>3133</v>
      </c>
      <c r="E260" s="4" t="s">
        <v>24</v>
      </c>
      <c r="F260" s="5">
        <v>0.11</v>
      </c>
      <c r="G260" s="4" t="s">
        <v>25</v>
      </c>
      <c r="H260" s="6">
        <f t="shared" si="4"/>
        <v>344.63</v>
      </c>
    </row>
    <row r="261" spans="1:8" x14ac:dyDescent="0.2">
      <c r="A261" s="2" t="s">
        <v>316</v>
      </c>
      <c r="B261" s="2" t="s">
        <v>292</v>
      </c>
      <c r="C261" s="2" t="s">
        <v>89</v>
      </c>
      <c r="D261" s="3">
        <v>4067</v>
      </c>
      <c r="E261" s="4" t="s">
        <v>30</v>
      </c>
      <c r="F261" s="5">
        <v>2.96</v>
      </c>
      <c r="G261" s="4" t="s">
        <v>31</v>
      </c>
      <c r="H261" s="6">
        <f t="shared" si="4"/>
        <v>12038.32</v>
      </c>
    </row>
    <row r="262" spans="1:8" x14ac:dyDescent="0.2">
      <c r="A262" s="2" t="s">
        <v>317</v>
      </c>
      <c r="B262" s="2" t="s">
        <v>292</v>
      </c>
      <c r="C262" s="2" t="s">
        <v>89</v>
      </c>
      <c r="D262" s="3">
        <v>4124</v>
      </c>
      <c r="E262" s="4" t="s">
        <v>30</v>
      </c>
      <c r="F262" s="5">
        <v>2.96</v>
      </c>
      <c r="G262" s="4" t="s">
        <v>31</v>
      </c>
      <c r="H262" s="6">
        <f t="shared" si="4"/>
        <v>12207.039999999999</v>
      </c>
    </row>
    <row r="263" spans="1:8" x14ac:dyDescent="0.2">
      <c r="A263" s="2" t="s">
        <v>318</v>
      </c>
      <c r="B263" s="2" t="s">
        <v>292</v>
      </c>
      <c r="C263" s="2" t="s">
        <v>57</v>
      </c>
      <c r="D263" s="3">
        <v>832</v>
      </c>
      <c r="E263" s="4" t="s">
        <v>20</v>
      </c>
      <c r="F263" s="5">
        <v>0.95</v>
      </c>
      <c r="G263" s="4" t="s">
        <v>21</v>
      </c>
      <c r="H263" s="6">
        <f t="shared" si="4"/>
        <v>790.4</v>
      </c>
    </row>
    <row r="264" spans="1:8" x14ac:dyDescent="0.2">
      <c r="A264" s="2" t="s">
        <v>319</v>
      </c>
      <c r="B264" s="2" t="s">
        <v>292</v>
      </c>
      <c r="C264" s="2" t="s">
        <v>23</v>
      </c>
      <c r="D264" s="3">
        <v>826</v>
      </c>
      <c r="E264" s="4" t="s">
        <v>24</v>
      </c>
      <c r="F264" s="5">
        <v>15.16</v>
      </c>
      <c r="G264" s="4" t="s">
        <v>25</v>
      </c>
      <c r="H264" s="6">
        <f t="shared" si="4"/>
        <v>12522.16</v>
      </c>
    </row>
    <row r="265" spans="1:8" x14ac:dyDescent="0.2">
      <c r="A265" s="2" t="s">
        <v>320</v>
      </c>
      <c r="B265" s="2" t="s">
        <v>292</v>
      </c>
      <c r="C265" s="2" t="s">
        <v>23</v>
      </c>
      <c r="D265" s="3">
        <v>135</v>
      </c>
      <c r="E265" s="4" t="s">
        <v>24</v>
      </c>
      <c r="F265" s="5">
        <v>16.329999999999998</v>
      </c>
      <c r="G265" s="4" t="s">
        <v>25</v>
      </c>
      <c r="H265" s="6">
        <f t="shared" si="4"/>
        <v>2204.5499999999997</v>
      </c>
    </row>
    <row r="266" spans="1:8" x14ac:dyDescent="0.2">
      <c r="A266" s="2" t="s">
        <v>321</v>
      </c>
      <c r="B266" s="2" t="s">
        <v>292</v>
      </c>
      <c r="C266" s="2" t="s">
        <v>52</v>
      </c>
      <c r="D266" s="3">
        <v>1274</v>
      </c>
      <c r="E266" s="4" t="s">
        <v>53</v>
      </c>
      <c r="F266" s="5">
        <v>9.3699999999999992</v>
      </c>
      <c r="G266" s="4" t="s">
        <v>54</v>
      </c>
      <c r="H266" s="6">
        <f t="shared" si="4"/>
        <v>11937.38</v>
      </c>
    </row>
    <row r="267" spans="1:8" x14ac:dyDescent="0.2">
      <c r="A267" s="2" t="s">
        <v>322</v>
      </c>
      <c r="B267" s="2" t="s">
        <v>292</v>
      </c>
      <c r="C267" s="2" t="s">
        <v>86</v>
      </c>
      <c r="D267" s="3">
        <v>2783</v>
      </c>
      <c r="E267" s="4" t="s">
        <v>72</v>
      </c>
      <c r="F267" s="5">
        <v>8672.56</v>
      </c>
      <c r="G267" s="4" t="s">
        <v>73</v>
      </c>
      <c r="H267" s="6">
        <f t="shared" si="4"/>
        <v>24135734.479999997</v>
      </c>
    </row>
    <row r="268" spans="1:8" x14ac:dyDescent="0.2">
      <c r="A268" s="2" t="s">
        <v>323</v>
      </c>
      <c r="B268" s="2" t="s">
        <v>292</v>
      </c>
      <c r="C268" s="2" t="s">
        <v>67</v>
      </c>
      <c r="D268" s="3">
        <v>667</v>
      </c>
      <c r="E268" s="4" t="s">
        <v>24</v>
      </c>
      <c r="F268" s="5">
        <v>0.56000000000000005</v>
      </c>
      <c r="G268" s="4" t="s">
        <v>25</v>
      </c>
      <c r="H268" s="6">
        <f t="shared" si="4"/>
        <v>373.52000000000004</v>
      </c>
    </row>
    <row r="269" spans="1:8" x14ac:dyDescent="0.2">
      <c r="A269" s="2" t="s">
        <v>324</v>
      </c>
      <c r="B269" s="2" t="s">
        <v>292</v>
      </c>
      <c r="C269" s="2" t="s">
        <v>29</v>
      </c>
      <c r="D269" s="3">
        <v>3123</v>
      </c>
      <c r="E269" s="4" t="s">
        <v>30</v>
      </c>
      <c r="F269" s="5">
        <v>2.14</v>
      </c>
      <c r="G269" s="4" t="s">
        <v>31</v>
      </c>
      <c r="H269" s="6">
        <f t="shared" si="4"/>
        <v>6683.22</v>
      </c>
    </row>
    <row r="270" spans="1:8" x14ac:dyDescent="0.2">
      <c r="A270" s="2" t="s">
        <v>325</v>
      </c>
      <c r="B270" s="2" t="s">
        <v>292</v>
      </c>
      <c r="C270" s="2" t="s">
        <v>48</v>
      </c>
      <c r="D270" s="3">
        <v>4442</v>
      </c>
      <c r="E270" s="4" t="s">
        <v>24</v>
      </c>
      <c r="F270" s="5">
        <v>0.06</v>
      </c>
      <c r="G270" s="4" t="s">
        <v>25</v>
      </c>
      <c r="H270" s="6">
        <f t="shared" si="4"/>
        <v>266.52</v>
      </c>
    </row>
    <row r="271" spans="1:8" x14ac:dyDescent="0.2">
      <c r="A271" s="2" t="s">
        <v>326</v>
      </c>
      <c r="B271" s="2" t="s">
        <v>292</v>
      </c>
      <c r="C271" s="2" t="s">
        <v>27</v>
      </c>
      <c r="D271" s="3">
        <v>1933</v>
      </c>
      <c r="E271" s="4" t="s">
        <v>20</v>
      </c>
      <c r="F271" s="5">
        <v>1.96</v>
      </c>
      <c r="G271" s="4" t="s">
        <v>21</v>
      </c>
      <c r="H271" s="6">
        <f t="shared" si="4"/>
        <v>3788.68</v>
      </c>
    </row>
    <row r="272" spans="1:8" x14ac:dyDescent="0.2">
      <c r="A272" s="2" t="s">
        <v>327</v>
      </c>
      <c r="B272" s="2" t="s">
        <v>292</v>
      </c>
      <c r="C272" s="2" t="s">
        <v>71</v>
      </c>
      <c r="D272" s="3">
        <v>1873</v>
      </c>
      <c r="E272" s="4" t="s">
        <v>72</v>
      </c>
      <c r="F272" s="5">
        <v>2848.06</v>
      </c>
      <c r="G272" s="4" t="s">
        <v>73</v>
      </c>
      <c r="H272" s="6">
        <f t="shared" si="4"/>
        <v>5334416.38</v>
      </c>
    </row>
    <row r="273" spans="1:8" x14ac:dyDescent="0.2">
      <c r="A273" s="2" t="s">
        <v>328</v>
      </c>
      <c r="B273" s="2" t="s">
        <v>292</v>
      </c>
      <c r="C273" s="2" t="s">
        <v>52</v>
      </c>
      <c r="D273" s="3">
        <v>816</v>
      </c>
      <c r="E273" s="4" t="s">
        <v>53</v>
      </c>
      <c r="F273" s="5">
        <v>12.8</v>
      </c>
      <c r="G273" s="4" t="s">
        <v>54</v>
      </c>
      <c r="H273" s="6">
        <f t="shared" si="4"/>
        <v>10444.800000000001</v>
      </c>
    </row>
    <row r="274" spans="1:8" x14ac:dyDescent="0.2">
      <c r="A274" s="2" t="s">
        <v>329</v>
      </c>
      <c r="B274" s="2" t="s">
        <v>292</v>
      </c>
      <c r="C274" s="2" t="s">
        <v>50</v>
      </c>
      <c r="D274" s="3">
        <v>3644</v>
      </c>
      <c r="E274" s="4" t="s">
        <v>20</v>
      </c>
      <c r="F274" s="5">
        <v>0.8</v>
      </c>
      <c r="G274" s="4" t="s">
        <v>21</v>
      </c>
      <c r="H274" s="6">
        <f t="shared" si="4"/>
        <v>2915.2000000000003</v>
      </c>
    </row>
    <row r="275" spans="1:8" x14ac:dyDescent="0.2">
      <c r="A275" s="2" t="s">
        <v>330</v>
      </c>
      <c r="B275" s="2" t="s">
        <v>292</v>
      </c>
      <c r="C275" s="2" t="s">
        <v>71</v>
      </c>
      <c r="D275" s="3">
        <v>247</v>
      </c>
      <c r="E275" s="4" t="s">
        <v>72</v>
      </c>
      <c r="F275" s="5">
        <v>2427.59</v>
      </c>
      <c r="G275" s="4" t="s">
        <v>73</v>
      </c>
      <c r="H275" s="6">
        <f t="shared" si="4"/>
        <v>599614.73</v>
      </c>
    </row>
    <row r="276" spans="1:8" x14ac:dyDescent="0.2">
      <c r="A276" s="2" t="s">
        <v>331</v>
      </c>
      <c r="B276" s="2" t="s">
        <v>292</v>
      </c>
      <c r="C276" s="2" t="s">
        <v>37</v>
      </c>
      <c r="D276" s="3">
        <v>2413</v>
      </c>
      <c r="E276" s="4" t="s">
        <v>38</v>
      </c>
      <c r="F276" s="5">
        <v>3.08</v>
      </c>
      <c r="G276" s="4" t="s">
        <v>39</v>
      </c>
      <c r="H276" s="6">
        <f t="shared" si="4"/>
        <v>7432.04</v>
      </c>
    </row>
    <row r="277" spans="1:8" x14ac:dyDescent="0.2">
      <c r="A277" s="2" t="s">
        <v>332</v>
      </c>
      <c r="B277" s="2" t="s">
        <v>292</v>
      </c>
      <c r="C277" s="2" t="s">
        <v>52</v>
      </c>
      <c r="D277" s="3">
        <v>1202</v>
      </c>
      <c r="E277" s="4" t="s">
        <v>53</v>
      </c>
      <c r="F277" s="5">
        <v>10.220000000000001</v>
      </c>
      <c r="G277" s="4" t="s">
        <v>54</v>
      </c>
      <c r="H277" s="6">
        <f t="shared" si="4"/>
        <v>12284.44</v>
      </c>
    </row>
    <row r="278" spans="1:8" x14ac:dyDescent="0.2">
      <c r="A278" s="2" t="s">
        <v>333</v>
      </c>
      <c r="B278" s="2" t="s">
        <v>292</v>
      </c>
      <c r="C278" s="2" t="s">
        <v>52</v>
      </c>
      <c r="D278" s="3">
        <v>4646</v>
      </c>
      <c r="E278" s="4" t="s">
        <v>53</v>
      </c>
      <c r="F278" s="5">
        <v>12.41</v>
      </c>
      <c r="G278" s="4" t="s">
        <v>54</v>
      </c>
      <c r="H278" s="6">
        <f t="shared" si="4"/>
        <v>57656.86</v>
      </c>
    </row>
    <row r="279" spans="1:8" x14ac:dyDescent="0.2">
      <c r="A279" s="2" t="s">
        <v>334</v>
      </c>
      <c r="B279" s="2" t="s">
        <v>292</v>
      </c>
      <c r="C279" s="2" t="s">
        <v>118</v>
      </c>
      <c r="D279" s="3">
        <v>1402</v>
      </c>
      <c r="E279" s="4" t="s">
        <v>24</v>
      </c>
      <c r="F279" s="5">
        <v>0.52</v>
      </c>
      <c r="G279" s="4" t="s">
        <v>25</v>
      </c>
      <c r="H279" s="6">
        <f t="shared" si="4"/>
        <v>729.04000000000008</v>
      </c>
    </row>
    <row r="280" spans="1:8" x14ac:dyDescent="0.2">
      <c r="A280" s="2" t="s">
        <v>335</v>
      </c>
      <c r="B280" s="2" t="s">
        <v>292</v>
      </c>
      <c r="C280" s="2" t="s">
        <v>147</v>
      </c>
      <c r="D280" s="3">
        <v>3143</v>
      </c>
      <c r="E280" s="4" t="s">
        <v>53</v>
      </c>
      <c r="F280" s="5">
        <v>12.96</v>
      </c>
      <c r="G280" s="4" t="s">
        <v>54</v>
      </c>
      <c r="H280" s="6">
        <f t="shared" si="4"/>
        <v>40733.280000000006</v>
      </c>
    </row>
    <row r="281" spans="1:8" x14ac:dyDescent="0.2">
      <c r="A281" s="2" t="s">
        <v>336</v>
      </c>
      <c r="B281" s="2" t="s">
        <v>292</v>
      </c>
      <c r="C281" s="2" t="s">
        <v>42</v>
      </c>
      <c r="D281" s="3">
        <v>4086</v>
      </c>
      <c r="E281" s="4" t="s">
        <v>24</v>
      </c>
      <c r="F281" s="5">
        <v>6.24</v>
      </c>
      <c r="G281" s="4" t="s">
        <v>25</v>
      </c>
      <c r="H281" s="6">
        <f t="shared" si="4"/>
        <v>25496.639999999999</v>
      </c>
    </row>
    <row r="282" spans="1:8" x14ac:dyDescent="0.2">
      <c r="A282" s="2" t="s">
        <v>337</v>
      </c>
      <c r="B282" s="2" t="s">
        <v>292</v>
      </c>
      <c r="C282" s="2" t="s">
        <v>89</v>
      </c>
      <c r="D282" s="3">
        <v>1912</v>
      </c>
      <c r="E282" s="4" t="s">
        <v>30</v>
      </c>
      <c r="F282" s="5">
        <v>2.35</v>
      </c>
      <c r="G282" s="4" t="s">
        <v>31</v>
      </c>
      <c r="H282" s="6">
        <f t="shared" si="4"/>
        <v>4493.2</v>
      </c>
    </row>
    <row r="283" spans="1:8" x14ac:dyDescent="0.2">
      <c r="A283" s="2" t="s">
        <v>338</v>
      </c>
      <c r="B283" s="2" t="s">
        <v>292</v>
      </c>
      <c r="C283" s="2" t="s">
        <v>86</v>
      </c>
      <c r="D283" s="3">
        <v>3774</v>
      </c>
      <c r="E283" s="4" t="s">
        <v>72</v>
      </c>
      <c r="F283" s="5">
        <v>8157.46</v>
      </c>
      <c r="G283" s="4" t="s">
        <v>73</v>
      </c>
      <c r="H283" s="6">
        <f t="shared" si="4"/>
        <v>30786254.039999999</v>
      </c>
    </row>
    <row r="284" spans="1:8" x14ac:dyDescent="0.2">
      <c r="A284" s="2" t="s">
        <v>339</v>
      </c>
      <c r="B284" s="2" t="s">
        <v>292</v>
      </c>
      <c r="C284" s="2" t="s">
        <v>33</v>
      </c>
      <c r="D284" s="3">
        <v>3821</v>
      </c>
      <c r="E284" s="4" t="s">
        <v>34</v>
      </c>
      <c r="F284" s="5">
        <v>5.75</v>
      </c>
      <c r="G284" s="4" t="s">
        <v>35</v>
      </c>
      <c r="H284" s="6">
        <f t="shared" si="4"/>
        <v>21970.75</v>
      </c>
    </row>
    <row r="285" spans="1:8" x14ac:dyDescent="0.2">
      <c r="A285" s="2" t="s">
        <v>340</v>
      </c>
      <c r="B285" s="2" t="s">
        <v>292</v>
      </c>
      <c r="C285" s="2" t="s">
        <v>29</v>
      </c>
      <c r="D285" s="3">
        <v>1304</v>
      </c>
      <c r="E285" s="4" t="s">
        <v>30</v>
      </c>
      <c r="F285" s="5">
        <v>1.0900000000000001</v>
      </c>
      <c r="G285" s="4" t="s">
        <v>31</v>
      </c>
      <c r="H285" s="6">
        <f t="shared" si="4"/>
        <v>1421.3600000000001</v>
      </c>
    </row>
    <row r="286" spans="1:8" x14ac:dyDescent="0.2">
      <c r="A286" s="2" t="s">
        <v>341</v>
      </c>
      <c r="B286" s="2" t="s">
        <v>292</v>
      </c>
      <c r="C286" s="2" t="s">
        <v>19</v>
      </c>
      <c r="D286" s="3">
        <v>4823</v>
      </c>
      <c r="E286" s="4" t="s">
        <v>20</v>
      </c>
      <c r="F286" s="5">
        <v>1.28</v>
      </c>
      <c r="G286" s="4" t="s">
        <v>21</v>
      </c>
      <c r="H286" s="6">
        <f t="shared" si="4"/>
        <v>6173.4400000000005</v>
      </c>
    </row>
    <row r="287" spans="1:8" x14ac:dyDescent="0.2">
      <c r="A287" s="2" t="s">
        <v>342</v>
      </c>
      <c r="B287" s="2" t="s">
        <v>292</v>
      </c>
      <c r="C287" s="2" t="s">
        <v>52</v>
      </c>
      <c r="D287" s="3">
        <v>2058</v>
      </c>
      <c r="E287" s="4" t="s">
        <v>53</v>
      </c>
      <c r="F287" s="5">
        <v>11.28</v>
      </c>
      <c r="G287" s="4" t="s">
        <v>54</v>
      </c>
      <c r="H287" s="6">
        <f t="shared" si="4"/>
        <v>23214.239999999998</v>
      </c>
    </row>
    <row r="288" spans="1:8" x14ac:dyDescent="0.2">
      <c r="A288" s="2" t="s">
        <v>343</v>
      </c>
      <c r="B288" s="2" t="s">
        <v>292</v>
      </c>
      <c r="C288" s="2" t="s">
        <v>71</v>
      </c>
      <c r="D288" s="3">
        <v>1641</v>
      </c>
      <c r="E288" s="4" t="s">
        <v>72</v>
      </c>
      <c r="F288" s="5">
        <v>2999.62</v>
      </c>
      <c r="G288" s="4" t="s">
        <v>73</v>
      </c>
      <c r="H288" s="6">
        <f t="shared" si="4"/>
        <v>4922376.42</v>
      </c>
    </row>
    <row r="289" spans="1:8" x14ac:dyDescent="0.2">
      <c r="A289" s="2" t="s">
        <v>344</v>
      </c>
      <c r="B289" s="2" t="s">
        <v>292</v>
      </c>
      <c r="C289" s="2" t="s">
        <v>48</v>
      </c>
      <c r="D289" s="3">
        <v>883</v>
      </c>
      <c r="E289" s="4" t="s">
        <v>24</v>
      </c>
      <c r="F289" s="5">
        <v>0.09</v>
      </c>
      <c r="G289" s="4" t="s">
        <v>25</v>
      </c>
      <c r="H289" s="6">
        <f t="shared" si="4"/>
        <v>79.47</v>
      </c>
    </row>
    <row r="290" spans="1:8" x14ac:dyDescent="0.2">
      <c r="A290" s="2" t="s">
        <v>345</v>
      </c>
      <c r="B290" s="2" t="s">
        <v>292</v>
      </c>
      <c r="C290" s="2" t="s">
        <v>46</v>
      </c>
      <c r="D290" s="3">
        <v>2950</v>
      </c>
      <c r="E290" s="4" t="s">
        <v>20</v>
      </c>
      <c r="F290" s="5">
        <v>3.15</v>
      </c>
      <c r="G290" s="4" t="s">
        <v>21</v>
      </c>
      <c r="H290" s="6">
        <f t="shared" si="4"/>
        <v>9292.5</v>
      </c>
    </row>
    <row r="291" spans="1:8" x14ac:dyDescent="0.2">
      <c r="A291" s="2" t="s">
        <v>346</v>
      </c>
      <c r="B291" s="2" t="s">
        <v>292</v>
      </c>
      <c r="C291" s="2" t="s">
        <v>71</v>
      </c>
      <c r="D291" s="3">
        <v>189</v>
      </c>
      <c r="E291" s="4" t="s">
        <v>72</v>
      </c>
      <c r="F291" s="5">
        <v>2986.77</v>
      </c>
      <c r="G291" s="4" t="s">
        <v>73</v>
      </c>
      <c r="H291" s="6">
        <f t="shared" si="4"/>
        <v>564499.53</v>
      </c>
    </row>
    <row r="292" spans="1:8" x14ac:dyDescent="0.2">
      <c r="A292" s="2" t="s">
        <v>347</v>
      </c>
      <c r="B292" s="2" t="s">
        <v>292</v>
      </c>
      <c r="C292" s="2" t="s">
        <v>67</v>
      </c>
      <c r="D292" s="3">
        <v>2258</v>
      </c>
      <c r="E292" s="4" t="s">
        <v>24</v>
      </c>
      <c r="F292" s="5">
        <v>0.3</v>
      </c>
      <c r="G292" s="4" t="s">
        <v>25</v>
      </c>
      <c r="H292" s="6">
        <f t="shared" si="4"/>
        <v>677.4</v>
      </c>
    </row>
    <row r="293" spans="1:8" x14ac:dyDescent="0.2">
      <c r="A293" s="2" t="s">
        <v>348</v>
      </c>
      <c r="B293" s="2" t="s">
        <v>292</v>
      </c>
      <c r="C293" s="2" t="s">
        <v>37</v>
      </c>
      <c r="D293" s="3">
        <v>4977</v>
      </c>
      <c r="E293" s="4" t="s">
        <v>38</v>
      </c>
      <c r="F293" s="5">
        <v>4.24</v>
      </c>
      <c r="G293" s="4" t="s">
        <v>39</v>
      </c>
      <c r="H293" s="6">
        <f t="shared" si="4"/>
        <v>21102.48</v>
      </c>
    </row>
    <row r="294" spans="1:8" x14ac:dyDescent="0.2">
      <c r="A294" s="2" t="s">
        <v>349</v>
      </c>
      <c r="B294" s="2" t="s">
        <v>292</v>
      </c>
      <c r="C294" s="2" t="s">
        <v>71</v>
      </c>
      <c r="D294" s="3">
        <v>1895</v>
      </c>
      <c r="E294" s="4" t="s">
        <v>72</v>
      </c>
      <c r="F294" s="5">
        <v>2764.24</v>
      </c>
      <c r="G294" s="4" t="s">
        <v>73</v>
      </c>
      <c r="H294" s="6">
        <f t="shared" si="4"/>
        <v>5238234.8</v>
      </c>
    </row>
    <row r="295" spans="1:8" x14ac:dyDescent="0.2">
      <c r="A295" s="2" t="s">
        <v>350</v>
      </c>
      <c r="B295" s="2" t="s">
        <v>292</v>
      </c>
      <c r="C295" s="2" t="s">
        <v>19</v>
      </c>
      <c r="D295" s="3">
        <v>1804</v>
      </c>
      <c r="E295" s="4" t="s">
        <v>20</v>
      </c>
      <c r="F295" s="5">
        <v>1.48</v>
      </c>
      <c r="G295" s="4" t="s">
        <v>21</v>
      </c>
      <c r="H295" s="6">
        <f t="shared" si="4"/>
        <v>2669.92</v>
      </c>
    </row>
    <row r="296" spans="1:8" x14ac:dyDescent="0.2">
      <c r="A296" s="2" t="s">
        <v>351</v>
      </c>
      <c r="B296" s="2" t="s">
        <v>292</v>
      </c>
      <c r="C296" s="2" t="s">
        <v>147</v>
      </c>
      <c r="D296" s="3">
        <v>2063</v>
      </c>
      <c r="E296" s="4" t="s">
        <v>53</v>
      </c>
      <c r="F296" s="5">
        <v>13.42</v>
      </c>
      <c r="G296" s="4" t="s">
        <v>54</v>
      </c>
      <c r="H296" s="6">
        <f t="shared" si="4"/>
        <v>27685.46</v>
      </c>
    </row>
    <row r="297" spans="1:8" x14ac:dyDescent="0.2">
      <c r="A297" s="2" t="s">
        <v>352</v>
      </c>
      <c r="B297" s="2" t="s">
        <v>292</v>
      </c>
      <c r="C297" s="2" t="s">
        <v>89</v>
      </c>
      <c r="D297" s="3">
        <v>805</v>
      </c>
      <c r="E297" s="4" t="s">
        <v>30</v>
      </c>
      <c r="F297" s="5">
        <v>2.88</v>
      </c>
      <c r="G297" s="4" t="s">
        <v>31</v>
      </c>
      <c r="H297" s="6">
        <f t="shared" si="4"/>
        <v>2318.4</v>
      </c>
    </row>
    <row r="298" spans="1:8" x14ac:dyDescent="0.2">
      <c r="A298" s="2" t="s">
        <v>353</v>
      </c>
      <c r="B298" s="2" t="s">
        <v>292</v>
      </c>
      <c r="C298" s="2" t="s">
        <v>37</v>
      </c>
      <c r="D298" s="3">
        <v>2540</v>
      </c>
      <c r="E298" s="4" t="s">
        <v>38</v>
      </c>
      <c r="F298" s="5">
        <v>4.37</v>
      </c>
      <c r="G298" s="4" t="s">
        <v>39</v>
      </c>
      <c r="H298" s="6">
        <f t="shared" si="4"/>
        <v>11099.800000000001</v>
      </c>
    </row>
    <row r="299" spans="1:8" x14ac:dyDescent="0.2">
      <c r="A299" s="2" t="s">
        <v>354</v>
      </c>
      <c r="B299" s="2" t="s">
        <v>292</v>
      </c>
      <c r="C299" s="2" t="s">
        <v>37</v>
      </c>
      <c r="D299" s="3">
        <v>4757</v>
      </c>
      <c r="E299" s="4" t="s">
        <v>38</v>
      </c>
      <c r="F299" s="5">
        <v>3.09</v>
      </c>
      <c r="G299" s="4" t="s">
        <v>39</v>
      </c>
      <c r="H299" s="6">
        <f t="shared" si="4"/>
        <v>14699.13</v>
      </c>
    </row>
    <row r="300" spans="1:8" x14ac:dyDescent="0.2">
      <c r="A300" s="2" t="s">
        <v>355</v>
      </c>
      <c r="B300" s="2" t="s">
        <v>292</v>
      </c>
      <c r="C300" s="2" t="s">
        <v>89</v>
      </c>
      <c r="D300" s="3">
        <v>748</v>
      </c>
      <c r="E300" s="4" t="s">
        <v>30</v>
      </c>
      <c r="F300" s="5">
        <v>2.89</v>
      </c>
      <c r="G300" s="4" t="s">
        <v>31</v>
      </c>
      <c r="H300" s="6">
        <f t="shared" si="4"/>
        <v>2161.7200000000003</v>
      </c>
    </row>
    <row r="301" spans="1:8" x14ac:dyDescent="0.2">
      <c r="A301" s="2" t="s">
        <v>356</v>
      </c>
      <c r="B301" s="2" t="s">
        <v>292</v>
      </c>
      <c r="C301" s="2" t="s">
        <v>57</v>
      </c>
      <c r="D301" s="3">
        <v>3413</v>
      </c>
      <c r="E301" s="4" t="s">
        <v>20</v>
      </c>
      <c r="F301" s="5">
        <v>0.67</v>
      </c>
      <c r="G301" s="4" t="s">
        <v>21</v>
      </c>
      <c r="H301" s="6">
        <f t="shared" si="4"/>
        <v>2286.71</v>
      </c>
    </row>
    <row r="302" spans="1:8" x14ac:dyDescent="0.2">
      <c r="A302" s="2" t="s">
        <v>357</v>
      </c>
      <c r="B302" s="2" t="s">
        <v>292</v>
      </c>
      <c r="C302" s="2" t="s">
        <v>89</v>
      </c>
      <c r="D302" s="3">
        <v>4428</v>
      </c>
      <c r="E302" s="4" t="s">
        <v>30</v>
      </c>
      <c r="F302" s="5">
        <v>2.85</v>
      </c>
      <c r="G302" s="4" t="s">
        <v>31</v>
      </c>
      <c r="H302" s="6">
        <f t="shared" si="4"/>
        <v>12619.800000000001</v>
      </c>
    </row>
    <row r="303" spans="1:8" x14ac:dyDescent="0.2">
      <c r="A303" s="2" t="s">
        <v>358</v>
      </c>
      <c r="B303" s="2" t="s">
        <v>292</v>
      </c>
      <c r="C303" s="2" t="s">
        <v>19</v>
      </c>
      <c r="D303" s="3">
        <v>4358</v>
      </c>
      <c r="E303" s="4" t="s">
        <v>20</v>
      </c>
      <c r="F303" s="5">
        <v>1.4</v>
      </c>
      <c r="G303" s="4" t="s">
        <v>21</v>
      </c>
      <c r="H303" s="6">
        <f t="shared" si="4"/>
        <v>6101.2</v>
      </c>
    </row>
    <row r="304" spans="1:8" x14ac:dyDescent="0.2">
      <c r="A304" s="2" t="s">
        <v>359</v>
      </c>
      <c r="B304" s="2" t="s">
        <v>292</v>
      </c>
      <c r="C304" s="2" t="s">
        <v>86</v>
      </c>
      <c r="D304" s="3">
        <v>1357</v>
      </c>
      <c r="E304" s="4" t="s">
        <v>72</v>
      </c>
      <c r="F304" s="5">
        <v>8159.76</v>
      </c>
      <c r="G304" s="4" t="s">
        <v>73</v>
      </c>
      <c r="H304" s="6">
        <f t="shared" si="4"/>
        <v>11072794.32</v>
      </c>
    </row>
    <row r="305" spans="1:8" x14ac:dyDescent="0.2">
      <c r="A305" s="2" t="s">
        <v>360</v>
      </c>
      <c r="B305" s="2" t="s">
        <v>292</v>
      </c>
      <c r="C305" s="2" t="s">
        <v>48</v>
      </c>
      <c r="D305" s="3">
        <v>2427</v>
      </c>
      <c r="E305" s="4" t="s">
        <v>24</v>
      </c>
      <c r="F305" s="5">
        <v>0.16</v>
      </c>
      <c r="G305" s="4" t="s">
        <v>25</v>
      </c>
      <c r="H305" s="6">
        <f t="shared" si="4"/>
        <v>388.32</v>
      </c>
    </row>
    <row r="306" spans="1:8" x14ac:dyDescent="0.2">
      <c r="A306" s="2" t="s">
        <v>361</v>
      </c>
      <c r="B306" s="2" t="s">
        <v>292</v>
      </c>
      <c r="C306" s="2" t="s">
        <v>57</v>
      </c>
      <c r="D306" s="3">
        <v>953</v>
      </c>
      <c r="E306" s="4" t="s">
        <v>20</v>
      </c>
      <c r="F306" s="5">
        <v>0.79</v>
      </c>
      <c r="G306" s="4" t="s">
        <v>21</v>
      </c>
      <c r="H306" s="6">
        <f t="shared" si="4"/>
        <v>752.87</v>
      </c>
    </row>
    <row r="307" spans="1:8" x14ac:dyDescent="0.2">
      <c r="A307" s="2" t="s">
        <v>362</v>
      </c>
      <c r="B307" s="2" t="s">
        <v>292</v>
      </c>
      <c r="C307" s="2" t="s">
        <v>27</v>
      </c>
      <c r="D307" s="3">
        <v>1163</v>
      </c>
      <c r="E307" s="4" t="s">
        <v>20</v>
      </c>
      <c r="F307" s="5">
        <v>2.1</v>
      </c>
      <c r="G307" s="4" t="s">
        <v>21</v>
      </c>
      <c r="H307" s="6">
        <f t="shared" si="4"/>
        <v>2442.3000000000002</v>
      </c>
    </row>
    <row r="308" spans="1:8" x14ac:dyDescent="0.2">
      <c r="A308" s="2" t="s">
        <v>363</v>
      </c>
      <c r="B308" s="2" t="s">
        <v>292</v>
      </c>
      <c r="C308" s="2" t="s">
        <v>42</v>
      </c>
      <c r="D308" s="3">
        <v>3265</v>
      </c>
      <c r="E308" s="4" t="s">
        <v>24</v>
      </c>
      <c r="F308" s="5">
        <v>6.4</v>
      </c>
      <c r="G308" s="4" t="s">
        <v>25</v>
      </c>
      <c r="H308" s="6">
        <f t="shared" si="4"/>
        <v>20896</v>
      </c>
    </row>
    <row r="309" spans="1:8" x14ac:dyDescent="0.2">
      <c r="A309" s="2" t="s">
        <v>364</v>
      </c>
      <c r="B309" s="2" t="s">
        <v>292</v>
      </c>
      <c r="C309" s="2" t="s">
        <v>29</v>
      </c>
      <c r="D309" s="3">
        <v>3006</v>
      </c>
      <c r="E309" s="4" t="s">
        <v>30</v>
      </c>
      <c r="F309" s="5">
        <v>1.1100000000000001</v>
      </c>
      <c r="G309" s="4" t="s">
        <v>31</v>
      </c>
      <c r="H309" s="6">
        <f t="shared" si="4"/>
        <v>3336.6600000000003</v>
      </c>
    </row>
    <row r="310" spans="1:8" x14ac:dyDescent="0.2">
      <c r="A310" s="2" t="s">
        <v>365</v>
      </c>
      <c r="B310" s="2" t="s">
        <v>292</v>
      </c>
      <c r="C310" s="2" t="s">
        <v>67</v>
      </c>
      <c r="D310" s="3">
        <v>124</v>
      </c>
      <c r="E310" s="4" t="s">
        <v>24</v>
      </c>
      <c r="F310" s="5">
        <v>0.38</v>
      </c>
      <c r="G310" s="4" t="s">
        <v>25</v>
      </c>
      <c r="H310" s="6">
        <f t="shared" si="4"/>
        <v>47.12</v>
      </c>
    </row>
    <row r="311" spans="1:8" x14ac:dyDescent="0.2">
      <c r="A311" s="2" t="s">
        <v>366</v>
      </c>
      <c r="B311" s="2" t="s">
        <v>292</v>
      </c>
      <c r="C311" s="2" t="s">
        <v>50</v>
      </c>
      <c r="D311" s="3">
        <v>3735</v>
      </c>
      <c r="E311" s="4" t="s">
        <v>20</v>
      </c>
      <c r="F311" s="5">
        <v>0.92</v>
      </c>
      <c r="G311" s="4" t="s">
        <v>21</v>
      </c>
      <c r="H311" s="6">
        <f t="shared" si="4"/>
        <v>3436.2000000000003</v>
      </c>
    </row>
    <row r="312" spans="1:8" x14ac:dyDescent="0.2">
      <c r="A312" s="2" t="s">
        <v>367</v>
      </c>
      <c r="B312" s="2" t="s">
        <v>292</v>
      </c>
      <c r="C312" s="2" t="s">
        <v>86</v>
      </c>
      <c r="D312" s="3">
        <v>4798</v>
      </c>
      <c r="E312" s="4" t="s">
        <v>72</v>
      </c>
      <c r="F312" s="5">
        <v>8333.44</v>
      </c>
      <c r="G312" s="4" t="s">
        <v>73</v>
      </c>
      <c r="H312" s="6">
        <f t="shared" si="4"/>
        <v>39983845.120000005</v>
      </c>
    </row>
    <row r="313" spans="1:8" x14ac:dyDescent="0.2">
      <c r="A313" s="2" t="s">
        <v>368</v>
      </c>
      <c r="B313" s="2" t="s">
        <v>292</v>
      </c>
      <c r="C313" s="2" t="s">
        <v>19</v>
      </c>
      <c r="D313" s="3">
        <v>897</v>
      </c>
      <c r="E313" s="4" t="s">
        <v>20</v>
      </c>
      <c r="F313" s="5">
        <v>1.5</v>
      </c>
      <c r="G313" s="4" t="s">
        <v>21</v>
      </c>
      <c r="H313" s="6">
        <f t="shared" si="4"/>
        <v>1345.5</v>
      </c>
    </row>
    <row r="314" spans="1:8" x14ac:dyDescent="0.2">
      <c r="A314" s="2" t="s">
        <v>369</v>
      </c>
      <c r="B314" s="2" t="s">
        <v>292</v>
      </c>
      <c r="C314" s="2" t="s">
        <v>48</v>
      </c>
      <c r="D314" s="3">
        <v>215</v>
      </c>
      <c r="E314" s="4" t="s">
        <v>24</v>
      </c>
      <c r="F314" s="5">
        <v>0.14000000000000001</v>
      </c>
      <c r="G314" s="4" t="s">
        <v>25</v>
      </c>
      <c r="H314" s="6">
        <f t="shared" si="4"/>
        <v>30.1</v>
      </c>
    </row>
    <row r="315" spans="1:8" x14ac:dyDescent="0.2">
      <c r="A315" s="2" t="s">
        <v>370</v>
      </c>
      <c r="B315" s="2" t="s">
        <v>292</v>
      </c>
      <c r="C315" s="2" t="s">
        <v>29</v>
      </c>
      <c r="D315" s="3">
        <v>2697</v>
      </c>
      <c r="E315" s="4" t="s">
        <v>30</v>
      </c>
      <c r="F315" s="5">
        <v>2.1</v>
      </c>
      <c r="G315" s="4" t="s">
        <v>31</v>
      </c>
      <c r="H315" s="6">
        <f t="shared" si="4"/>
        <v>5663.7</v>
      </c>
    </row>
    <row r="316" spans="1:8" x14ac:dyDescent="0.2">
      <c r="A316" s="2" t="s">
        <v>371</v>
      </c>
      <c r="B316" s="2" t="s">
        <v>292</v>
      </c>
      <c r="C316" s="2" t="s">
        <v>42</v>
      </c>
      <c r="D316" s="3">
        <v>527</v>
      </c>
      <c r="E316" s="4" t="s">
        <v>24</v>
      </c>
      <c r="F316" s="5">
        <v>5.41</v>
      </c>
      <c r="G316" s="4" t="s">
        <v>25</v>
      </c>
      <c r="H316" s="6">
        <f t="shared" si="4"/>
        <v>2851.07</v>
      </c>
    </row>
    <row r="317" spans="1:8" x14ac:dyDescent="0.2">
      <c r="A317" s="2" t="s">
        <v>372</v>
      </c>
      <c r="B317" s="2" t="s">
        <v>292</v>
      </c>
      <c r="C317" s="2" t="s">
        <v>23</v>
      </c>
      <c r="D317" s="3">
        <v>2485</v>
      </c>
      <c r="E317" s="4" t="s">
        <v>24</v>
      </c>
      <c r="F317" s="5">
        <v>15.9</v>
      </c>
      <c r="G317" s="4" t="s">
        <v>25</v>
      </c>
      <c r="H317" s="6">
        <f t="shared" si="4"/>
        <v>39511.5</v>
      </c>
    </row>
    <row r="318" spans="1:8" x14ac:dyDescent="0.2">
      <c r="A318" s="2" t="s">
        <v>373</v>
      </c>
      <c r="B318" s="2" t="s">
        <v>292</v>
      </c>
      <c r="C318" s="2" t="s">
        <v>50</v>
      </c>
      <c r="D318" s="3">
        <v>1155</v>
      </c>
      <c r="E318" s="4" t="s">
        <v>20</v>
      </c>
      <c r="F318" s="5">
        <v>0.73</v>
      </c>
      <c r="G318" s="4" t="s">
        <v>21</v>
      </c>
      <c r="H318" s="6">
        <f t="shared" si="4"/>
        <v>843.15</v>
      </c>
    </row>
    <row r="319" spans="1:8" x14ac:dyDescent="0.2">
      <c r="A319" s="2" t="s">
        <v>374</v>
      </c>
      <c r="B319" s="2" t="s">
        <v>292</v>
      </c>
      <c r="C319" s="2" t="s">
        <v>37</v>
      </c>
      <c r="D319" s="3">
        <v>2503</v>
      </c>
      <c r="E319" s="4" t="s">
        <v>38</v>
      </c>
      <c r="F319" s="5">
        <v>4.99</v>
      </c>
      <c r="G319" s="4" t="s">
        <v>39</v>
      </c>
      <c r="H319" s="6">
        <f t="shared" si="4"/>
        <v>12489.970000000001</v>
      </c>
    </row>
    <row r="320" spans="1:8" x14ac:dyDescent="0.2">
      <c r="A320" s="2" t="s">
        <v>375</v>
      </c>
      <c r="B320" s="2" t="s">
        <v>292</v>
      </c>
      <c r="C320" s="2" t="s">
        <v>50</v>
      </c>
      <c r="D320" s="3">
        <v>806</v>
      </c>
      <c r="E320" s="4" t="s">
        <v>20</v>
      </c>
      <c r="F320" s="5">
        <v>0.84</v>
      </c>
      <c r="G320" s="4" t="s">
        <v>21</v>
      </c>
      <c r="H320" s="6">
        <f t="shared" si="4"/>
        <v>677.04</v>
      </c>
    </row>
    <row r="321" spans="1:8" x14ac:dyDescent="0.2">
      <c r="A321" s="2" t="s">
        <v>376</v>
      </c>
      <c r="B321" s="2" t="s">
        <v>292</v>
      </c>
      <c r="C321" s="2" t="s">
        <v>29</v>
      </c>
      <c r="D321" s="3">
        <v>1121</v>
      </c>
      <c r="E321" s="4" t="s">
        <v>30</v>
      </c>
      <c r="F321" s="5">
        <v>1.47</v>
      </c>
      <c r="G321" s="4" t="s">
        <v>31</v>
      </c>
      <c r="H321" s="6">
        <f t="shared" si="4"/>
        <v>1647.87</v>
      </c>
    </row>
    <row r="322" spans="1:8" x14ac:dyDescent="0.2">
      <c r="A322" s="2" t="s">
        <v>377</v>
      </c>
      <c r="B322" s="2" t="s">
        <v>292</v>
      </c>
      <c r="C322" s="2" t="s">
        <v>19</v>
      </c>
      <c r="D322" s="3">
        <v>4435</v>
      </c>
      <c r="E322" s="4" t="s">
        <v>20</v>
      </c>
      <c r="F322" s="5">
        <v>1.35</v>
      </c>
      <c r="G322" s="4" t="s">
        <v>21</v>
      </c>
      <c r="H322" s="6">
        <f t="shared" ref="H322:H385" si="5">D322*F322</f>
        <v>5987.25</v>
      </c>
    </row>
    <row r="323" spans="1:8" x14ac:dyDescent="0.2">
      <c r="A323" s="2" t="s">
        <v>378</v>
      </c>
      <c r="B323" s="2" t="s">
        <v>292</v>
      </c>
      <c r="C323" s="2" t="s">
        <v>89</v>
      </c>
      <c r="D323" s="3">
        <v>3408</v>
      </c>
      <c r="E323" s="4" t="s">
        <v>30</v>
      </c>
      <c r="F323" s="5">
        <v>2.59</v>
      </c>
      <c r="G323" s="4" t="s">
        <v>31</v>
      </c>
      <c r="H323" s="6">
        <f t="shared" si="5"/>
        <v>8826.7199999999993</v>
      </c>
    </row>
    <row r="324" spans="1:8" x14ac:dyDescent="0.2">
      <c r="A324" s="2" t="s">
        <v>379</v>
      </c>
      <c r="B324" s="2" t="s">
        <v>292</v>
      </c>
      <c r="C324" s="2" t="s">
        <v>48</v>
      </c>
      <c r="D324" s="3">
        <v>3353</v>
      </c>
      <c r="E324" s="4" t="s">
        <v>24</v>
      </c>
      <c r="F324" s="5">
        <v>0.19</v>
      </c>
      <c r="G324" s="4" t="s">
        <v>25</v>
      </c>
      <c r="H324" s="6">
        <f t="shared" si="5"/>
        <v>637.07000000000005</v>
      </c>
    </row>
    <row r="325" spans="1:8" x14ac:dyDescent="0.2">
      <c r="A325" s="2" t="s">
        <v>380</v>
      </c>
      <c r="B325" s="2" t="s">
        <v>292</v>
      </c>
      <c r="C325" s="2" t="s">
        <v>86</v>
      </c>
      <c r="D325" s="3">
        <v>278</v>
      </c>
      <c r="E325" s="4" t="s">
        <v>72</v>
      </c>
      <c r="F325" s="5">
        <v>8766.39</v>
      </c>
      <c r="G325" s="4" t="s">
        <v>73</v>
      </c>
      <c r="H325" s="6">
        <f t="shared" si="5"/>
        <v>2437056.42</v>
      </c>
    </row>
    <row r="326" spans="1:8" x14ac:dyDescent="0.2">
      <c r="A326" s="2" t="s">
        <v>381</v>
      </c>
      <c r="B326" s="2" t="s">
        <v>292</v>
      </c>
      <c r="C326" s="2" t="s">
        <v>44</v>
      </c>
      <c r="D326" s="3">
        <v>3642</v>
      </c>
      <c r="E326" s="4" t="s">
        <v>24</v>
      </c>
      <c r="F326" s="5">
        <v>1.21</v>
      </c>
      <c r="G326" s="4" t="s">
        <v>25</v>
      </c>
      <c r="H326" s="6">
        <f t="shared" si="5"/>
        <v>4406.82</v>
      </c>
    </row>
    <row r="327" spans="1:8" x14ac:dyDescent="0.2">
      <c r="A327" s="2" t="s">
        <v>382</v>
      </c>
      <c r="B327" s="2" t="s">
        <v>292</v>
      </c>
      <c r="C327" s="2" t="s">
        <v>42</v>
      </c>
      <c r="D327" s="3">
        <v>2981</v>
      </c>
      <c r="E327" s="4" t="s">
        <v>24</v>
      </c>
      <c r="F327" s="5">
        <v>3.8</v>
      </c>
      <c r="G327" s="4" t="s">
        <v>25</v>
      </c>
      <c r="H327" s="6">
        <f t="shared" si="5"/>
        <v>11327.8</v>
      </c>
    </row>
    <row r="328" spans="1:8" x14ac:dyDescent="0.2">
      <c r="A328" s="2" t="s">
        <v>383</v>
      </c>
      <c r="B328" s="2" t="s">
        <v>292</v>
      </c>
      <c r="C328" s="2" t="s">
        <v>19</v>
      </c>
      <c r="D328" s="3">
        <v>4470</v>
      </c>
      <c r="E328" s="4" t="s">
        <v>20</v>
      </c>
      <c r="F328" s="5">
        <v>1.64</v>
      </c>
      <c r="G328" s="4" t="s">
        <v>21</v>
      </c>
      <c r="H328" s="6">
        <f t="shared" si="5"/>
        <v>7330.7999999999993</v>
      </c>
    </row>
    <row r="329" spans="1:8" x14ac:dyDescent="0.2">
      <c r="A329" s="2" t="s">
        <v>384</v>
      </c>
      <c r="B329" s="2" t="s">
        <v>292</v>
      </c>
      <c r="C329" s="2" t="s">
        <v>19</v>
      </c>
      <c r="D329" s="3">
        <v>506</v>
      </c>
      <c r="E329" s="4" t="s">
        <v>20</v>
      </c>
      <c r="F329" s="5">
        <v>1.34</v>
      </c>
      <c r="G329" s="4" t="s">
        <v>21</v>
      </c>
      <c r="H329" s="6">
        <f t="shared" si="5"/>
        <v>678.04000000000008</v>
      </c>
    </row>
    <row r="330" spans="1:8" x14ac:dyDescent="0.2">
      <c r="A330" s="2" t="s">
        <v>385</v>
      </c>
      <c r="B330" s="2" t="s">
        <v>292</v>
      </c>
      <c r="C330" s="2" t="s">
        <v>44</v>
      </c>
      <c r="D330" s="3">
        <v>1010</v>
      </c>
      <c r="E330" s="4" t="s">
        <v>24</v>
      </c>
      <c r="F330" s="5">
        <v>1.56</v>
      </c>
      <c r="G330" s="4" t="s">
        <v>25</v>
      </c>
      <c r="H330" s="6">
        <f t="shared" si="5"/>
        <v>1575.6000000000001</v>
      </c>
    </row>
    <row r="331" spans="1:8" x14ac:dyDescent="0.2">
      <c r="A331" s="2" t="s">
        <v>386</v>
      </c>
      <c r="B331" s="2" t="s">
        <v>292</v>
      </c>
      <c r="C331" s="2" t="s">
        <v>23</v>
      </c>
      <c r="D331" s="3">
        <v>760</v>
      </c>
      <c r="E331" s="4" t="s">
        <v>24</v>
      </c>
      <c r="F331" s="5">
        <v>15.98</v>
      </c>
      <c r="G331" s="4" t="s">
        <v>25</v>
      </c>
      <c r="H331" s="6">
        <f t="shared" si="5"/>
        <v>12144.800000000001</v>
      </c>
    </row>
    <row r="332" spans="1:8" x14ac:dyDescent="0.2">
      <c r="A332" s="2" t="s">
        <v>387</v>
      </c>
      <c r="B332" s="2" t="s">
        <v>292</v>
      </c>
      <c r="C332" s="2" t="s">
        <v>147</v>
      </c>
      <c r="D332" s="3">
        <v>184</v>
      </c>
      <c r="E332" s="4" t="s">
        <v>53</v>
      </c>
      <c r="F332" s="5">
        <v>8.4</v>
      </c>
      <c r="G332" s="4" t="s">
        <v>54</v>
      </c>
      <c r="H332" s="6">
        <f t="shared" si="5"/>
        <v>1545.6000000000001</v>
      </c>
    </row>
    <row r="333" spans="1:8" x14ac:dyDescent="0.2">
      <c r="A333" s="2" t="s">
        <v>388</v>
      </c>
      <c r="B333" s="2" t="s">
        <v>292</v>
      </c>
      <c r="C333" s="2" t="s">
        <v>57</v>
      </c>
      <c r="D333" s="3">
        <v>2005</v>
      </c>
      <c r="E333" s="4" t="s">
        <v>20</v>
      </c>
      <c r="F333" s="5">
        <v>1</v>
      </c>
      <c r="G333" s="4" t="s">
        <v>21</v>
      </c>
      <c r="H333" s="6">
        <f t="shared" si="5"/>
        <v>2005</v>
      </c>
    </row>
    <row r="334" spans="1:8" x14ac:dyDescent="0.2">
      <c r="A334" s="2" t="s">
        <v>389</v>
      </c>
      <c r="B334" s="2" t="s">
        <v>292</v>
      </c>
      <c r="C334" s="2" t="s">
        <v>46</v>
      </c>
      <c r="D334" s="3">
        <v>1691</v>
      </c>
      <c r="E334" s="4" t="s">
        <v>20</v>
      </c>
      <c r="F334" s="5">
        <v>2.14</v>
      </c>
      <c r="G334" s="4" t="s">
        <v>21</v>
      </c>
      <c r="H334" s="6">
        <f t="shared" si="5"/>
        <v>3618.7400000000002</v>
      </c>
    </row>
    <row r="335" spans="1:8" x14ac:dyDescent="0.2">
      <c r="A335" s="2" t="s">
        <v>390</v>
      </c>
      <c r="B335" s="2" t="s">
        <v>292</v>
      </c>
      <c r="C335" s="2" t="s">
        <v>29</v>
      </c>
      <c r="D335" s="3">
        <v>1707</v>
      </c>
      <c r="E335" s="4" t="s">
        <v>30</v>
      </c>
      <c r="F335" s="5">
        <v>1.7</v>
      </c>
      <c r="G335" s="4" t="s">
        <v>31</v>
      </c>
      <c r="H335" s="6">
        <f t="shared" si="5"/>
        <v>2901.9</v>
      </c>
    </row>
    <row r="336" spans="1:8" x14ac:dyDescent="0.2">
      <c r="A336" s="2" t="s">
        <v>391</v>
      </c>
      <c r="B336" s="2" t="s">
        <v>292</v>
      </c>
      <c r="C336" s="2" t="s">
        <v>42</v>
      </c>
      <c r="D336" s="3">
        <v>2701</v>
      </c>
      <c r="E336" s="4" t="s">
        <v>24</v>
      </c>
      <c r="F336" s="5">
        <v>5.82</v>
      </c>
      <c r="G336" s="4" t="s">
        <v>25</v>
      </c>
      <c r="H336" s="6">
        <f t="shared" si="5"/>
        <v>15719.820000000002</v>
      </c>
    </row>
    <row r="337" spans="1:8" x14ac:dyDescent="0.2">
      <c r="A337" s="2" t="s">
        <v>392</v>
      </c>
      <c r="B337" s="2" t="s">
        <v>292</v>
      </c>
      <c r="C337" s="2" t="s">
        <v>147</v>
      </c>
      <c r="D337" s="3">
        <v>33</v>
      </c>
      <c r="E337" s="4" t="s">
        <v>53</v>
      </c>
      <c r="F337" s="5">
        <v>10.220000000000001</v>
      </c>
      <c r="G337" s="4" t="s">
        <v>54</v>
      </c>
      <c r="H337" s="6">
        <f t="shared" si="5"/>
        <v>337.26000000000005</v>
      </c>
    </row>
    <row r="338" spans="1:8" x14ac:dyDescent="0.2">
      <c r="A338" s="2" t="s">
        <v>393</v>
      </c>
      <c r="B338" s="2" t="s">
        <v>292</v>
      </c>
      <c r="C338" s="2" t="s">
        <v>89</v>
      </c>
      <c r="D338" s="3">
        <v>1074</v>
      </c>
      <c r="E338" s="4" t="s">
        <v>30</v>
      </c>
      <c r="F338" s="5">
        <v>2.4500000000000002</v>
      </c>
      <c r="G338" s="4" t="s">
        <v>31</v>
      </c>
      <c r="H338" s="6">
        <f t="shared" si="5"/>
        <v>2631.3</v>
      </c>
    </row>
    <row r="339" spans="1:8" x14ac:dyDescent="0.2">
      <c r="A339" s="2" t="s">
        <v>394</v>
      </c>
      <c r="B339" s="2" t="s">
        <v>292</v>
      </c>
      <c r="C339" s="2" t="s">
        <v>118</v>
      </c>
      <c r="D339" s="3">
        <v>910</v>
      </c>
      <c r="E339" s="4" t="s">
        <v>24</v>
      </c>
      <c r="F339" s="5">
        <v>0.86</v>
      </c>
      <c r="G339" s="4" t="s">
        <v>25</v>
      </c>
      <c r="H339" s="6">
        <f t="shared" si="5"/>
        <v>782.6</v>
      </c>
    </row>
    <row r="340" spans="1:8" x14ac:dyDescent="0.2">
      <c r="A340" s="2" t="s">
        <v>395</v>
      </c>
      <c r="B340" s="2" t="s">
        <v>292</v>
      </c>
      <c r="C340" s="2" t="s">
        <v>33</v>
      </c>
      <c r="D340" s="3">
        <v>1089</v>
      </c>
      <c r="E340" s="4" t="s">
        <v>34</v>
      </c>
      <c r="F340" s="5">
        <v>3.54</v>
      </c>
      <c r="G340" s="4" t="s">
        <v>35</v>
      </c>
      <c r="H340" s="6">
        <f t="shared" si="5"/>
        <v>3855.06</v>
      </c>
    </row>
    <row r="341" spans="1:8" x14ac:dyDescent="0.2">
      <c r="A341" s="2" t="s">
        <v>396</v>
      </c>
      <c r="B341" s="2" t="s">
        <v>292</v>
      </c>
      <c r="C341" s="2" t="s">
        <v>42</v>
      </c>
      <c r="D341" s="3">
        <v>4833</v>
      </c>
      <c r="E341" s="4" t="s">
        <v>24</v>
      </c>
      <c r="F341" s="5">
        <v>4.47</v>
      </c>
      <c r="G341" s="4" t="s">
        <v>25</v>
      </c>
      <c r="H341" s="6">
        <f t="shared" si="5"/>
        <v>21603.51</v>
      </c>
    </row>
    <row r="342" spans="1:8" x14ac:dyDescent="0.2">
      <c r="A342" s="2" t="s">
        <v>397</v>
      </c>
      <c r="B342" s="2" t="s">
        <v>292</v>
      </c>
      <c r="C342" s="2" t="s">
        <v>118</v>
      </c>
      <c r="D342" s="3">
        <v>2183</v>
      </c>
      <c r="E342" s="4" t="s">
        <v>24</v>
      </c>
      <c r="F342" s="5">
        <v>0.44</v>
      </c>
      <c r="G342" s="4" t="s">
        <v>25</v>
      </c>
      <c r="H342" s="6">
        <f t="shared" si="5"/>
        <v>960.52</v>
      </c>
    </row>
    <row r="343" spans="1:8" x14ac:dyDescent="0.2">
      <c r="A343" s="2" t="s">
        <v>398</v>
      </c>
      <c r="B343" s="2" t="s">
        <v>292</v>
      </c>
      <c r="C343" s="2" t="s">
        <v>52</v>
      </c>
      <c r="D343" s="3">
        <v>4319</v>
      </c>
      <c r="E343" s="4" t="s">
        <v>53</v>
      </c>
      <c r="F343" s="5">
        <v>9.57</v>
      </c>
      <c r="G343" s="4" t="s">
        <v>54</v>
      </c>
      <c r="H343" s="6">
        <f t="shared" si="5"/>
        <v>41332.83</v>
      </c>
    </row>
    <row r="344" spans="1:8" x14ac:dyDescent="0.2">
      <c r="A344" s="2" t="s">
        <v>399</v>
      </c>
      <c r="B344" s="2" t="s">
        <v>292</v>
      </c>
      <c r="C344" s="2" t="s">
        <v>27</v>
      </c>
      <c r="D344" s="3">
        <v>3911</v>
      </c>
      <c r="E344" s="4" t="s">
        <v>20</v>
      </c>
      <c r="F344" s="5">
        <v>1.74</v>
      </c>
      <c r="G344" s="4" t="s">
        <v>21</v>
      </c>
      <c r="H344" s="6">
        <f t="shared" si="5"/>
        <v>6805.14</v>
      </c>
    </row>
    <row r="345" spans="1:8" x14ac:dyDescent="0.2">
      <c r="A345" s="2" t="s">
        <v>400</v>
      </c>
      <c r="B345" s="2" t="s">
        <v>292</v>
      </c>
      <c r="C345" s="2" t="s">
        <v>19</v>
      </c>
      <c r="D345" s="3">
        <v>4214</v>
      </c>
      <c r="E345" s="4" t="s">
        <v>20</v>
      </c>
      <c r="F345" s="5">
        <v>1.46</v>
      </c>
      <c r="G345" s="4" t="s">
        <v>21</v>
      </c>
      <c r="H345" s="6">
        <f t="shared" si="5"/>
        <v>6152.44</v>
      </c>
    </row>
    <row r="346" spans="1:8" x14ac:dyDescent="0.2">
      <c r="A346" s="2" t="s">
        <v>401</v>
      </c>
      <c r="B346" s="2" t="s">
        <v>402</v>
      </c>
      <c r="C346" s="2" t="s">
        <v>23</v>
      </c>
      <c r="D346" s="3">
        <v>4137</v>
      </c>
      <c r="E346" s="4" t="s">
        <v>24</v>
      </c>
      <c r="F346" s="5">
        <v>13.33</v>
      </c>
      <c r="G346" s="4" t="s">
        <v>25</v>
      </c>
      <c r="H346" s="6">
        <f t="shared" si="5"/>
        <v>55146.21</v>
      </c>
    </row>
    <row r="347" spans="1:8" x14ac:dyDescent="0.2">
      <c r="A347" s="2" t="s">
        <v>403</v>
      </c>
      <c r="B347" s="2" t="s">
        <v>402</v>
      </c>
      <c r="C347" s="2" t="s">
        <v>147</v>
      </c>
      <c r="D347" s="3">
        <v>365</v>
      </c>
      <c r="E347" s="4" t="s">
        <v>53</v>
      </c>
      <c r="F347" s="5">
        <v>13.82</v>
      </c>
      <c r="G347" s="4" t="s">
        <v>54</v>
      </c>
      <c r="H347" s="6">
        <f t="shared" si="5"/>
        <v>5044.3</v>
      </c>
    </row>
    <row r="348" spans="1:8" x14ac:dyDescent="0.2">
      <c r="A348" s="2" t="s">
        <v>404</v>
      </c>
      <c r="B348" s="2" t="s">
        <v>402</v>
      </c>
      <c r="C348" s="2" t="s">
        <v>78</v>
      </c>
      <c r="D348" s="3">
        <v>2480</v>
      </c>
      <c r="E348" s="4" t="s">
        <v>38</v>
      </c>
      <c r="F348" s="5">
        <v>2.2799999999999998</v>
      </c>
      <c r="G348" s="4" t="s">
        <v>39</v>
      </c>
      <c r="H348" s="6">
        <f t="shared" si="5"/>
        <v>5654.4</v>
      </c>
    </row>
    <row r="349" spans="1:8" x14ac:dyDescent="0.2">
      <c r="A349" s="2" t="s">
        <v>405</v>
      </c>
      <c r="B349" s="2" t="s">
        <v>402</v>
      </c>
      <c r="C349" s="2" t="s">
        <v>33</v>
      </c>
      <c r="D349" s="3">
        <v>508</v>
      </c>
      <c r="E349" s="4" t="s">
        <v>34</v>
      </c>
      <c r="F349" s="5">
        <v>6</v>
      </c>
      <c r="G349" s="4" t="s">
        <v>35</v>
      </c>
      <c r="H349" s="6">
        <f t="shared" si="5"/>
        <v>3048</v>
      </c>
    </row>
    <row r="350" spans="1:8" x14ac:dyDescent="0.2">
      <c r="A350" s="2" t="s">
        <v>406</v>
      </c>
      <c r="B350" s="2" t="s">
        <v>402</v>
      </c>
      <c r="C350" s="2" t="s">
        <v>67</v>
      </c>
      <c r="D350" s="3">
        <v>3502</v>
      </c>
      <c r="E350" s="4" t="s">
        <v>24</v>
      </c>
      <c r="F350" s="5">
        <v>0.51</v>
      </c>
      <c r="G350" s="4" t="s">
        <v>25</v>
      </c>
      <c r="H350" s="6">
        <f t="shared" si="5"/>
        <v>1786.02</v>
      </c>
    </row>
    <row r="351" spans="1:8" x14ac:dyDescent="0.2">
      <c r="A351" s="2" t="s">
        <v>407</v>
      </c>
      <c r="B351" s="2" t="s">
        <v>402</v>
      </c>
      <c r="C351" s="2" t="s">
        <v>48</v>
      </c>
      <c r="D351" s="3">
        <v>3643</v>
      </c>
      <c r="E351" s="4" t="s">
        <v>24</v>
      </c>
      <c r="F351" s="5">
        <v>0.06</v>
      </c>
      <c r="G351" s="4" t="s">
        <v>25</v>
      </c>
      <c r="H351" s="6">
        <f t="shared" si="5"/>
        <v>218.57999999999998</v>
      </c>
    </row>
    <row r="352" spans="1:8" x14ac:dyDescent="0.2">
      <c r="A352" s="2" t="s">
        <v>408</v>
      </c>
      <c r="B352" s="2" t="s">
        <v>402</v>
      </c>
      <c r="C352" s="2" t="s">
        <v>27</v>
      </c>
      <c r="D352" s="3">
        <v>2648</v>
      </c>
      <c r="E352" s="4" t="s">
        <v>20</v>
      </c>
      <c r="F352" s="5">
        <v>1.93</v>
      </c>
      <c r="G352" s="4" t="s">
        <v>21</v>
      </c>
      <c r="H352" s="6">
        <f t="shared" si="5"/>
        <v>5110.6399999999994</v>
      </c>
    </row>
    <row r="353" spans="1:8" x14ac:dyDescent="0.2">
      <c r="A353" s="2" t="s">
        <v>409</v>
      </c>
      <c r="B353" s="2" t="s">
        <v>402</v>
      </c>
      <c r="C353" s="2" t="s">
        <v>27</v>
      </c>
      <c r="D353" s="3">
        <v>1043</v>
      </c>
      <c r="E353" s="4" t="s">
        <v>20</v>
      </c>
      <c r="F353" s="5">
        <v>1.53</v>
      </c>
      <c r="G353" s="4" t="s">
        <v>21</v>
      </c>
      <c r="H353" s="6">
        <f t="shared" si="5"/>
        <v>1595.79</v>
      </c>
    </row>
    <row r="354" spans="1:8" x14ac:dyDescent="0.2">
      <c r="A354" s="2" t="s">
        <v>410</v>
      </c>
      <c r="B354" s="2" t="s">
        <v>402</v>
      </c>
      <c r="C354" s="2" t="s">
        <v>46</v>
      </c>
      <c r="D354" s="3">
        <v>4502</v>
      </c>
      <c r="E354" s="4" t="s">
        <v>20</v>
      </c>
      <c r="F354" s="5">
        <v>3.42</v>
      </c>
      <c r="G354" s="4" t="s">
        <v>21</v>
      </c>
      <c r="H354" s="6">
        <f t="shared" si="5"/>
        <v>15396.84</v>
      </c>
    </row>
    <row r="355" spans="1:8" x14ac:dyDescent="0.2">
      <c r="A355" s="2" t="s">
        <v>411</v>
      </c>
      <c r="B355" s="2" t="s">
        <v>402</v>
      </c>
      <c r="C355" s="2" t="s">
        <v>67</v>
      </c>
      <c r="D355" s="3">
        <v>4903</v>
      </c>
      <c r="E355" s="4" t="s">
        <v>24</v>
      </c>
      <c r="F355" s="5">
        <v>0.46</v>
      </c>
      <c r="G355" s="4" t="s">
        <v>25</v>
      </c>
      <c r="H355" s="6">
        <f t="shared" si="5"/>
        <v>2255.38</v>
      </c>
    </row>
    <row r="356" spans="1:8" x14ac:dyDescent="0.2">
      <c r="A356" s="2" t="s">
        <v>412</v>
      </c>
      <c r="B356" s="2" t="s">
        <v>402</v>
      </c>
      <c r="C356" s="2" t="s">
        <v>23</v>
      </c>
      <c r="D356" s="3">
        <v>4151</v>
      </c>
      <c r="E356" s="4" t="s">
        <v>24</v>
      </c>
      <c r="F356" s="5">
        <v>15.63</v>
      </c>
      <c r="G356" s="4" t="s">
        <v>25</v>
      </c>
      <c r="H356" s="6">
        <f t="shared" si="5"/>
        <v>64880.130000000005</v>
      </c>
    </row>
    <row r="357" spans="1:8" x14ac:dyDescent="0.2">
      <c r="A357" s="2" t="s">
        <v>413</v>
      </c>
      <c r="B357" s="2" t="s">
        <v>402</v>
      </c>
      <c r="C357" s="2" t="s">
        <v>50</v>
      </c>
      <c r="D357" s="3">
        <v>947</v>
      </c>
      <c r="E357" s="4" t="s">
        <v>20</v>
      </c>
      <c r="F357" s="5">
        <v>1.21</v>
      </c>
      <c r="G357" s="4" t="s">
        <v>21</v>
      </c>
      <c r="H357" s="6">
        <f t="shared" si="5"/>
        <v>1145.8699999999999</v>
      </c>
    </row>
    <row r="358" spans="1:8" x14ac:dyDescent="0.2">
      <c r="A358" s="2" t="s">
        <v>414</v>
      </c>
      <c r="B358" s="2" t="s">
        <v>402</v>
      </c>
      <c r="C358" s="2" t="s">
        <v>29</v>
      </c>
      <c r="D358" s="3">
        <v>1771</v>
      </c>
      <c r="E358" s="4" t="s">
        <v>30</v>
      </c>
      <c r="F358" s="5">
        <v>1.52</v>
      </c>
      <c r="G358" s="4" t="s">
        <v>31</v>
      </c>
      <c r="H358" s="6">
        <f t="shared" si="5"/>
        <v>2691.92</v>
      </c>
    </row>
    <row r="359" spans="1:8" x14ac:dyDescent="0.2">
      <c r="A359" s="2" t="s">
        <v>415</v>
      </c>
      <c r="B359" s="2" t="s">
        <v>402</v>
      </c>
      <c r="C359" s="2" t="s">
        <v>42</v>
      </c>
      <c r="D359" s="3">
        <v>3399</v>
      </c>
      <c r="E359" s="4" t="s">
        <v>24</v>
      </c>
      <c r="F359" s="5">
        <v>4.5199999999999996</v>
      </c>
      <c r="G359" s="4" t="s">
        <v>25</v>
      </c>
      <c r="H359" s="6">
        <f t="shared" si="5"/>
        <v>15363.479999999998</v>
      </c>
    </row>
    <row r="360" spans="1:8" x14ac:dyDescent="0.2">
      <c r="A360" s="2" t="s">
        <v>416</v>
      </c>
      <c r="B360" s="2" t="s">
        <v>402</v>
      </c>
      <c r="C360" s="2" t="s">
        <v>23</v>
      </c>
      <c r="D360" s="3">
        <v>3276</v>
      </c>
      <c r="E360" s="4" t="s">
        <v>24</v>
      </c>
      <c r="F360" s="5">
        <v>14.5</v>
      </c>
      <c r="G360" s="4" t="s">
        <v>25</v>
      </c>
      <c r="H360" s="6">
        <f t="shared" si="5"/>
        <v>47502</v>
      </c>
    </row>
    <row r="361" spans="1:8" x14ac:dyDescent="0.2">
      <c r="A361" s="2" t="s">
        <v>417</v>
      </c>
      <c r="B361" s="2" t="s">
        <v>402</v>
      </c>
      <c r="C361" s="2" t="s">
        <v>50</v>
      </c>
      <c r="D361" s="3">
        <v>2570</v>
      </c>
      <c r="E361" s="4" t="s">
        <v>20</v>
      </c>
      <c r="F361" s="5">
        <v>0.96</v>
      </c>
      <c r="G361" s="4" t="s">
        <v>21</v>
      </c>
      <c r="H361" s="6">
        <f t="shared" si="5"/>
        <v>2467.1999999999998</v>
      </c>
    </row>
    <row r="362" spans="1:8" x14ac:dyDescent="0.2">
      <c r="A362" s="2" t="s">
        <v>418</v>
      </c>
      <c r="B362" s="2" t="s">
        <v>402</v>
      </c>
      <c r="C362" s="2" t="s">
        <v>86</v>
      </c>
      <c r="D362" s="3">
        <v>3076</v>
      </c>
      <c r="E362" s="4" t="s">
        <v>72</v>
      </c>
      <c r="F362" s="5">
        <v>9135.0300000000007</v>
      </c>
      <c r="G362" s="4" t="s">
        <v>73</v>
      </c>
      <c r="H362" s="6">
        <f t="shared" si="5"/>
        <v>28099352.280000001</v>
      </c>
    </row>
    <row r="363" spans="1:8" x14ac:dyDescent="0.2">
      <c r="A363" s="2" t="s">
        <v>419</v>
      </c>
      <c r="B363" s="2" t="s">
        <v>402</v>
      </c>
      <c r="C363" s="2" t="s">
        <v>48</v>
      </c>
      <c r="D363" s="3">
        <v>559</v>
      </c>
      <c r="E363" s="4" t="s">
        <v>24</v>
      </c>
      <c r="F363" s="5">
        <v>0.06</v>
      </c>
      <c r="G363" s="4" t="s">
        <v>25</v>
      </c>
      <c r="H363" s="6">
        <f t="shared" si="5"/>
        <v>33.54</v>
      </c>
    </row>
    <row r="364" spans="1:8" x14ac:dyDescent="0.2">
      <c r="A364" s="2" t="s">
        <v>420</v>
      </c>
      <c r="B364" s="2" t="s">
        <v>402</v>
      </c>
      <c r="C364" s="2" t="s">
        <v>27</v>
      </c>
      <c r="D364" s="3">
        <v>773</v>
      </c>
      <c r="E364" s="4" t="s">
        <v>20</v>
      </c>
      <c r="F364" s="5">
        <v>1.72</v>
      </c>
      <c r="G364" s="4" t="s">
        <v>21</v>
      </c>
      <c r="H364" s="6">
        <f t="shared" si="5"/>
        <v>1329.56</v>
      </c>
    </row>
    <row r="365" spans="1:8" x14ac:dyDescent="0.2">
      <c r="A365" s="2" t="s">
        <v>421</v>
      </c>
      <c r="B365" s="2" t="s">
        <v>402</v>
      </c>
      <c r="C365" s="2" t="s">
        <v>19</v>
      </c>
      <c r="D365" s="3">
        <v>1075</v>
      </c>
      <c r="E365" s="4" t="s">
        <v>20</v>
      </c>
      <c r="F365" s="5">
        <v>1.43</v>
      </c>
      <c r="G365" s="4" t="s">
        <v>21</v>
      </c>
      <c r="H365" s="6">
        <f t="shared" si="5"/>
        <v>1537.25</v>
      </c>
    </row>
    <row r="366" spans="1:8" x14ac:dyDescent="0.2">
      <c r="A366" s="2" t="s">
        <v>422</v>
      </c>
      <c r="B366" s="2" t="s">
        <v>402</v>
      </c>
      <c r="C366" s="2" t="s">
        <v>46</v>
      </c>
      <c r="D366" s="3">
        <v>4610</v>
      </c>
      <c r="E366" s="4" t="s">
        <v>20</v>
      </c>
      <c r="F366" s="5">
        <v>3.12</v>
      </c>
      <c r="G366" s="4" t="s">
        <v>21</v>
      </c>
      <c r="H366" s="6">
        <f t="shared" si="5"/>
        <v>14383.2</v>
      </c>
    </row>
    <row r="367" spans="1:8" x14ac:dyDescent="0.2">
      <c r="A367" s="2" t="s">
        <v>423</v>
      </c>
      <c r="B367" s="2" t="s">
        <v>402</v>
      </c>
      <c r="C367" s="2" t="s">
        <v>50</v>
      </c>
      <c r="D367" s="3">
        <v>3375</v>
      </c>
      <c r="E367" s="4" t="s">
        <v>20</v>
      </c>
      <c r="F367" s="5">
        <v>0.91</v>
      </c>
      <c r="G367" s="4" t="s">
        <v>21</v>
      </c>
      <c r="H367" s="6">
        <f t="shared" si="5"/>
        <v>3071.25</v>
      </c>
    </row>
    <row r="368" spans="1:8" x14ac:dyDescent="0.2">
      <c r="A368" s="2" t="s">
        <v>424</v>
      </c>
      <c r="B368" s="2" t="s">
        <v>402</v>
      </c>
      <c r="C368" s="2" t="s">
        <v>52</v>
      </c>
      <c r="D368" s="3">
        <v>431</v>
      </c>
      <c r="E368" s="4" t="s">
        <v>53</v>
      </c>
      <c r="F368" s="5">
        <v>13.84</v>
      </c>
      <c r="G368" s="4" t="s">
        <v>54</v>
      </c>
      <c r="H368" s="6">
        <f t="shared" si="5"/>
        <v>5965.04</v>
      </c>
    </row>
    <row r="369" spans="1:8" x14ac:dyDescent="0.2">
      <c r="A369" s="2" t="s">
        <v>425</v>
      </c>
      <c r="B369" s="2" t="s">
        <v>402</v>
      </c>
      <c r="C369" s="2" t="s">
        <v>147</v>
      </c>
      <c r="D369" s="3">
        <v>2569</v>
      </c>
      <c r="E369" s="4" t="s">
        <v>53</v>
      </c>
      <c r="F369" s="5">
        <v>10.81</v>
      </c>
      <c r="G369" s="4" t="s">
        <v>54</v>
      </c>
      <c r="H369" s="6">
        <f t="shared" si="5"/>
        <v>27770.890000000003</v>
      </c>
    </row>
    <row r="370" spans="1:8" x14ac:dyDescent="0.2">
      <c r="A370" s="2" t="s">
        <v>426</v>
      </c>
      <c r="B370" s="2" t="s">
        <v>402</v>
      </c>
      <c r="C370" s="2" t="s">
        <v>46</v>
      </c>
      <c r="D370" s="3">
        <v>4166</v>
      </c>
      <c r="E370" s="4" t="s">
        <v>20</v>
      </c>
      <c r="F370" s="5">
        <v>2.4300000000000002</v>
      </c>
      <c r="G370" s="4" t="s">
        <v>21</v>
      </c>
      <c r="H370" s="6">
        <f t="shared" si="5"/>
        <v>10123.380000000001</v>
      </c>
    </row>
    <row r="371" spans="1:8" x14ac:dyDescent="0.2">
      <c r="A371" s="2" t="s">
        <v>427</v>
      </c>
      <c r="B371" s="2" t="s">
        <v>402</v>
      </c>
      <c r="C371" s="2" t="s">
        <v>48</v>
      </c>
      <c r="D371" s="3">
        <v>1847</v>
      </c>
      <c r="E371" s="4" t="s">
        <v>24</v>
      </c>
      <c r="F371" s="5">
        <v>0.18</v>
      </c>
      <c r="G371" s="4" t="s">
        <v>25</v>
      </c>
      <c r="H371" s="6">
        <f t="shared" si="5"/>
        <v>332.46</v>
      </c>
    </row>
    <row r="372" spans="1:8" x14ac:dyDescent="0.2">
      <c r="A372" s="2" t="s">
        <v>428</v>
      </c>
      <c r="B372" s="2" t="s">
        <v>402</v>
      </c>
      <c r="C372" s="2" t="s">
        <v>19</v>
      </c>
      <c r="D372" s="3">
        <v>4566</v>
      </c>
      <c r="E372" s="4" t="s">
        <v>20</v>
      </c>
      <c r="F372" s="5">
        <v>1.32</v>
      </c>
      <c r="G372" s="4" t="s">
        <v>21</v>
      </c>
      <c r="H372" s="6">
        <f t="shared" si="5"/>
        <v>6027.12</v>
      </c>
    </row>
    <row r="373" spans="1:8" x14ac:dyDescent="0.2">
      <c r="A373" s="2" t="s">
        <v>429</v>
      </c>
      <c r="B373" s="2" t="s">
        <v>402</v>
      </c>
      <c r="C373" s="2" t="s">
        <v>86</v>
      </c>
      <c r="D373" s="3">
        <v>4713</v>
      </c>
      <c r="E373" s="4" t="s">
        <v>72</v>
      </c>
      <c r="F373" s="5">
        <v>8116.62</v>
      </c>
      <c r="G373" s="4" t="s">
        <v>73</v>
      </c>
      <c r="H373" s="6">
        <f t="shared" si="5"/>
        <v>38253630.060000002</v>
      </c>
    </row>
    <row r="374" spans="1:8" x14ac:dyDescent="0.2">
      <c r="A374" s="2" t="s">
        <v>430</v>
      </c>
      <c r="B374" s="2" t="s">
        <v>402</v>
      </c>
      <c r="C374" s="2" t="s">
        <v>52</v>
      </c>
      <c r="D374" s="3">
        <v>4605</v>
      </c>
      <c r="E374" s="4" t="s">
        <v>53</v>
      </c>
      <c r="F374" s="5">
        <v>13.87</v>
      </c>
      <c r="G374" s="4" t="s">
        <v>54</v>
      </c>
      <c r="H374" s="6">
        <f t="shared" si="5"/>
        <v>63871.35</v>
      </c>
    </row>
    <row r="375" spans="1:8" x14ac:dyDescent="0.2">
      <c r="A375" s="2" t="s">
        <v>431</v>
      </c>
      <c r="B375" s="2" t="s">
        <v>402</v>
      </c>
      <c r="C375" s="2" t="s">
        <v>147</v>
      </c>
      <c r="D375" s="3">
        <v>4570</v>
      </c>
      <c r="E375" s="4" t="s">
        <v>53</v>
      </c>
      <c r="F375" s="5">
        <v>8.2100000000000009</v>
      </c>
      <c r="G375" s="4" t="s">
        <v>54</v>
      </c>
      <c r="H375" s="6">
        <f t="shared" si="5"/>
        <v>37519.700000000004</v>
      </c>
    </row>
    <row r="376" spans="1:8" x14ac:dyDescent="0.2">
      <c r="A376" s="2" t="s">
        <v>432</v>
      </c>
      <c r="B376" s="2" t="s">
        <v>402</v>
      </c>
      <c r="C376" s="2" t="s">
        <v>86</v>
      </c>
      <c r="D376" s="3">
        <v>247</v>
      </c>
      <c r="E376" s="4" t="s">
        <v>72</v>
      </c>
      <c r="F376" s="5">
        <v>8052.58</v>
      </c>
      <c r="G376" s="4" t="s">
        <v>73</v>
      </c>
      <c r="H376" s="6">
        <f t="shared" si="5"/>
        <v>1988987.26</v>
      </c>
    </row>
    <row r="377" spans="1:8" x14ac:dyDescent="0.2">
      <c r="A377" s="2" t="s">
        <v>433</v>
      </c>
      <c r="B377" s="2" t="s">
        <v>402</v>
      </c>
      <c r="C377" s="2" t="s">
        <v>71</v>
      </c>
      <c r="D377" s="3">
        <v>2793</v>
      </c>
      <c r="E377" s="4" t="s">
        <v>72</v>
      </c>
      <c r="F377" s="5">
        <v>2610.61</v>
      </c>
      <c r="G377" s="4" t="s">
        <v>73</v>
      </c>
      <c r="H377" s="6">
        <f t="shared" si="5"/>
        <v>7291433.7300000004</v>
      </c>
    </row>
    <row r="378" spans="1:8" x14ac:dyDescent="0.2">
      <c r="A378" s="2" t="s">
        <v>434</v>
      </c>
      <c r="B378" s="2" t="s">
        <v>402</v>
      </c>
      <c r="C378" s="2" t="s">
        <v>118</v>
      </c>
      <c r="D378" s="3">
        <v>1183</v>
      </c>
      <c r="E378" s="4" t="s">
        <v>24</v>
      </c>
      <c r="F378" s="5">
        <v>0.8</v>
      </c>
      <c r="G378" s="4" t="s">
        <v>25</v>
      </c>
      <c r="H378" s="6">
        <f t="shared" si="5"/>
        <v>946.40000000000009</v>
      </c>
    </row>
    <row r="379" spans="1:8" x14ac:dyDescent="0.2">
      <c r="A379" s="2" t="s">
        <v>435</v>
      </c>
      <c r="B379" s="2" t="s">
        <v>402</v>
      </c>
      <c r="C379" s="2" t="s">
        <v>67</v>
      </c>
      <c r="D379" s="3">
        <v>580</v>
      </c>
      <c r="E379" s="4" t="s">
        <v>24</v>
      </c>
      <c r="F379" s="5">
        <v>0.34</v>
      </c>
      <c r="G379" s="4" t="s">
        <v>25</v>
      </c>
      <c r="H379" s="6">
        <f t="shared" si="5"/>
        <v>197.20000000000002</v>
      </c>
    </row>
    <row r="380" spans="1:8" x14ac:dyDescent="0.2">
      <c r="A380" s="2" t="s">
        <v>436</v>
      </c>
      <c r="B380" s="2" t="s">
        <v>402</v>
      </c>
      <c r="C380" s="2" t="s">
        <v>33</v>
      </c>
      <c r="D380" s="3">
        <v>761</v>
      </c>
      <c r="E380" s="4" t="s">
        <v>34</v>
      </c>
      <c r="F380" s="5">
        <v>5.37</v>
      </c>
      <c r="G380" s="4" t="s">
        <v>35</v>
      </c>
      <c r="H380" s="6">
        <f t="shared" si="5"/>
        <v>4086.57</v>
      </c>
    </row>
    <row r="381" spans="1:8" x14ac:dyDescent="0.2">
      <c r="A381" s="2" t="s">
        <v>437</v>
      </c>
      <c r="B381" s="2" t="s">
        <v>402</v>
      </c>
      <c r="C381" s="2" t="s">
        <v>44</v>
      </c>
      <c r="D381" s="3">
        <v>3091</v>
      </c>
      <c r="E381" s="4" t="s">
        <v>24</v>
      </c>
      <c r="F381" s="5">
        <v>1.19</v>
      </c>
      <c r="G381" s="4" t="s">
        <v>25</v>
      </c>
      <c r="H381" s="6">
        <f t="shared" si="5"/>
        <v>3678.29</v>
      </c>
    </row>
    <row r="382" spans="1:8" x14ac:dyDescent="0.2">
      <c r="A382" s="2" t="s">
        <v>438</v>
      </c>
      <c r="B382" s="2" t="s">
        <v>402</v>
      </c>
      <c r="C382" s="2" t="s">
        <v>57</v>
      </c>
      <c r="D382" s="3">
        <v>1299</v>
      </c>
      <c r="E382" s="4" t="s">
        <v>20</v>
      </c>
      <c r="F382" s="5">
        <v>0.75</v>
      </c>
      <c r="G382" s="4" t="s">
        <v>21</v>
      </c>
      <c r="H382" s="6">
        <f t="shared" si="5"/>
        <v>974.25</v>
      </c>
    </row>
    <row r="383" spans="1:8" x14ac:dyDescent="0.2">
      <c r="A383" s="2" t="s">
        <v>439</v>
      </c>
      <c r="B383" s="2" t="s">
        <v>402</v>
      </c>
      <c r="C383" s="2" t="s">
        <v>57</v>
      </c>
      <c r="D383" s="3">
        <v>4659</v>
      </c>
      <c r="E383" s="4" t="s">
        <v>20</v>
      </c>
      <c r="F383" s="5">
        <v>0.84</v>
      </c>
      <c r="G383" s="4" t="s">
        <v>21</v>
      </c>
      <c r="H383" s="6">
        <f t="shared" si="5"/>
        <v>3913.56</v>
      </c>
    </row>
    <row r="384" spans="1:8" x14ac:dyDescent="0.2">
      <c r="A384" s="2" t="s">
        <v>440</v>
      </c>
      <c r="B384" s="2" t="s">
        <v>402</v>
      </c>
      <c r="C384" s="2" t="s">
        <v>37</v>
      </c>
      <c r="D384" s="3">
        <v>1284</v>
      </c>
      <c r="E384" s="4" t="s">
        <v>38</v>
      </c>
      <c r="F384" s="5">
        <v>2.4700000000000002</v>
      </c>
      <c r="G384" s="4" t="s">
        <v>39</v>
      </c>
      <c r="H384" s="6">
        <f t="shared" si="5"/>
        <v>3171.4800000000005</v>
      </c>
    </row>
    <row r="385" spans="1:8" x14ac:dyDescent="0.2">
      <c r="A385" s="2" t="s">
        <v>441</v>
      </c>
      <c r="B385" s="2" t="s">
        <v>402</v>
      </c>
      <c r="C385" s="2" t="s">
        <v>147</v>
      </c>
      <c r="D385" s="3">
        <v>417</v>
      </c>
      <c r="E385" s="4" t="s">
        <v>53</v>
      </c>
      <c r="F385" s="5">
        <v>13.39</v>
      </c>
      <c r="G385" s="4" t="s">
        <v>54</v>
      </c>
      <c r="H385" s="6">
        <f t="shared" si="5"/>
        <v>5583.63</v>
      </c>
    </row>
    <row r="386" spans="1:8" x14ac:dyDescent="0.2">
      <c r="A386" s="2" t="s">
        <v>442</v>
      </c>
      <c r="B386" s="2" t="s">
        <v>402</v>
      </c>
      <c r="C386" s="2" t="s">
        <v>86</v>
      </c>
      <c r="D386" s="3">
        <v>3639</v>
      </c>
      <c r="E386" s="4" t="s">
        <v>72</v>
      </c>
      <c r="F386" s="5">
        <v>8726.7099999999991</v>
      </c>
      <c r="G386" s="4" t="s">
        <v>73</v>
      </c>
      <c r="H386" s="6">
        <f t="shared" ref="H386:H449" si="6">D386*F386</f>
        <v>31756497.689999998</v>
      </c>
    </row>
    <row r="387" spans="1:8" x14ac:dyDescent="0.2">
      <c r="A387" s="2" t="s">
        <v>443</v>
      </c>
      <c r="B387" s="2" t="s">
        <v>402</v>
      </c>
      <c r="C387" s="2" t="s">
        <v>48</v>
      </c>
      <c r="D387" s="3">
        <v>4983</v>
      </c>
      <c r="E387" s="4" t="s">
        <v>24</v>
      </c>
      <c r="F387" s="5">
        <v>0.12</v>
      </c>
      <c r="G387" s="4" t="s">
        <v>25</v>
      </c>
      <c r="H387" s="6">
        <f t="shared" si="6"/>
        <v>597.95999999999992</v>
      </c>
    </row>
    <row r="388" spans="1:8" x14ac:dyDescent="0.2">
      <c r="A388" s="2" t="s">
        <v>444</v>
      </c>
      <c r="B388" s="2" t="s">
        <v>402</v>
      </c>
      <c r="C388" s="2" t="s">
        <v>86</v>
      </c>
      <c r="D388" s="3">
        <v>1775</v>
      </c>
      <c r="E388" s="4" t="s">
        <v>72</v>
      </c>
      <c r="F388" s="5">
        <v>8856.92</v>
      </c>
      <c r="G388" s="4" t="s">
        <v>73</v>
      </c>
      <c r="H388" s="6">
        <f t="shared" si="6"/>
        <v>15721033</v>
      </c>
    </row>
    <row r="389" spans="1:8" x14ac:dyDescent="0.2">
      <c r="A389" s="2" t="s">
        <v>445</v>
      </c>
      <c r="B389" s="2" t="s">
        <v>402</v>
      </c>
      <c r="C389" s="2" t="s">
        <v>50</v>
      </c>
      <c r="D389" s="3">
        <v>2837</v>
      </c>
      <c r="E389" s="4" t="s">
        <v>20</v>
      </c>
      <c r="F389" s="5">
        <v>0.96</v>
      </c>
      <c r="G389" s="4" t="s">
        <v>21</v>
      </c>
      <c r="H389" s="6">
        <f t="shared" si="6"/>
        <v>2723.52</v>
      </c>
    </row>
    <row r="390" spans="1:8" x14ac:dyDescent="0.2">
      <c r="A390" s="2" t="s">
        <v>446</v>
      </c>
      <c r="B390" s="2" t="s">
        <v>402</v>
      </c>
      <c r="C390" s="2" t="s">
        <v>71</v>
      </c>
      <c r="D390" s="3">
        <v>4868</v>
      </c>
      <c r="E390" s="4" t="s">
        <v>72</v>
      </c>
      <c r="F390" s="5">
        <v>2691.98</v>
      </c>
      <c r="G390" s="4" t="s">
        <v>73</v>
      </c>
      <c r="H390" s="6">
        <f t="shared" si="6"/>
        <v>13104558.640000001</v>
      </c>
    </row>
    <row r="391" spans="1:8" x14ac:dyDescent="0.2">
      <c r="A391" s="2" t="s">
        <v>447</v>
      </c>
      <c r="B391" s="2" t="s">
        <v>402</v>
      </c>
      <c r="C391" s="2" t="s">
        <v>71</v>
      </c>
      <c r="D391" s="3">
        <v>382</v>
      </c>
      <c r="E391" s="4" t="s">
        <v>72</v>
      </c>
      <c r="F391" s="5">
        <v>2532.31</v>
      </c>
      <c r="G391" s="4" t="s">
        <v>73</v>
      </c>
      <c r="H391" s="6">
        <f t="shared" si="6"/>
        <v>967342.41999999993</v>
      </c>
    </row>
    <row r="392" spans="1:8" x14ac:dyDescent="0.2">
      <c r="A392" s="2" t="s">
        <v>448</v>
      </c>
      <c r="B392" s="2" t="s">
        <v>402</v>
      </c>
      <c r="C392" s="2" t="s">
        <v>147</v>
      </c>
      <c r="D392" s="3">
        <v>458</v>
      </c>
      <c r="E392" s="4" t="s">
        <v>53</v>
      </c>
      <c r="F392" s="5">
        <v>8.06</v>
      </c>
      <c r="G392" s="4" t="s">
        <v>54</v>
      </c>
      <c r="H392" s="6">
        <f t="shared" si="6"/>
        <v>3691.48</v>
      </c>
    </row>
    <row r="393" spans="1:8" x14ac:dyDescent="0.2">
      <c r="A393" s="2" t="s">
        <v>449</v>
      </c>
      <c r="B393" s="2" t="s">
        <v>450</v>
      </c>
      <c r="C393" s="2" t="s">
        <v>71</v>
      </c>
      <c r="D393" s="3">
        <v>1740</v>
      </c>
      <c r="E393" s="4" t="s">
        <v>72</v>
      </c>
      <c r="F393" s="5">
        <v>2860.41</v>
      </c>
      <c r="G393" s="4" t="s">
        <v>73</v>
      </c>
      <c r="H393" s="6">
        <f t="shared" si="6"/>
        <v>4977113.3999999994</v>
      </c>
    </row>
    <row r="394" spans="1:8" x14ac:dyDescent="0.2">
      <c r="A394" s="2" t="s">
        <v>451</v>
      </c>
      <c r="B394" s="2" t="s">
        <v>450</v>
      </c>
      <c r="C394" s="2" t="s">
        <v>86</v>
      </c>
      <c r="D394" s="3">
        <v>2381</v>
      </c>
      <c r="E394" s="4" t="s">
        <v>72</v>
      </c>
      <c r="F394" s="5">
        <v>8259.3700000000008</v>
      </c>
      <c r="G394" s="4" t="s">
        <v>73</v>
      </c>
      <c r="H394" s="6">
        <f t="shared" si="6"/>
        <v>19665559.970000003</v>
      </c>
    </row>
    <row r="395" spans="1:8" x14ac:dyDescent="0.2">
      <c r="A395" s="2" t="s">
        <v>452</v>
      </c>
      <c r="B395" s="2" t="s">
        <v>450</v>
      </c>
      <c r="C395" s="2" t="s">
        <v>33</v>
      </c>
      <c r="D395" s="3">
        <v>4084</v>
      </c>
      <c r="E395" s="4" t="s">
        <v>34</v>
      </c>
      <c r="F395" s="5">
        <v>5.37</v>
      </c>
      <c r="G395" s="4" t="s">
        <v>35</v>
      </c>
      <c r="H395" s="6">
        <f t="shared" si="6"/>
        <v>21931.08</v>
      </c>
    </row>
    <row r="396" spans="1:8" x14ac:dyDescent="0.2">
      <c r="A396" s="2" t="s">
        <v>453</v>
      </c>
      <c r="B396" s="2" t="s">
        <v>450</v>
      </c>
      <c r="C396" s="2" t="s">
        <v>118</v>
      </c>
      <c r="D396" s="3">
        <v>1068</v>
      </c>
      <c r="E396" s="4" t="s">
        <v>24</v>
      </c>
      <c r="F396" s="5">
        <v>0.67</v>
      </c>
      <c r="G396" s="4" t="s">
        <v>25</v>
      </c>
      <c r="H396" s="6">
        <f t="shared" si="6"/>
        <v>715.56000000000006</v>
      </c>
    </row>
    <row r="397" spans="1:8" x14ac:dyDescent="0.2">
      <c r="A397" s="2" t="s">
        <v>454</v>
      </c>
      <c r="B397" s="2" t="s">
        <v>450</v>
      </c>
      <c r="C397" s="2" t="s">
        <v>42</v>
      </c>
      <c r="D397" s="3">
        <v>4108</v>
      </c>
      <c r="E397" s="4" t="s">
        <v>24</v>
      </c>
      <c r="F397" s="5">
        <v>5.18</v>
      </c>
      <c r="G397" s="4" t="s">
        <v>25</v>
      </c>
      <c r="H397" s="6">
        <f t="shared" si="6"/>
        <v>21279.439999999999</v>
      </c>
    </row>
    <row r="398" spans="1:8" x14ac:dyDescent="0.2">
      <c r="A398" s="2" t="s">
        <v>455</v>
      </c>
      <c r="B398" s="2" t="s">
        <v>450</v>
      </c>
      <c r="C398" s="2" t="s">
        <v>19</v>
      </c>
      <c r="D398" s="3">
        <v>600</v>
      </c>
      <c r="E398" s="4" t="s">
        <v>20</v>
      </c>
      <c r="F398" s="5">
        <v>1.34</v>
      </c>
      <c r="G398" s="4" t="s">
        <v>21</v>
      </c>
      <c r="H398" s="6">
        <f t="shared" si="6"/>
        <v>804</v>
      </c>
    </row>
    <row r="399" spans="1:8" x14ac:dyDescent="0.2">
      <c r="A399" s="2" t="s">
        <v>456</v>
      </c>
      <c r="B399" s="2" t="s">
        <v>450</v>
      </c>
      <c r="C399" s="2" t="s">
        <v>37</v>
      </c>
      <c r="D399" s="3">
        <v>3583</v>
      </c>
      <c r="E399" s="4" t="s">
        <v>38</v>
      </c>
      <c r="F399" s="5">
        <v>2.06</v>
      </c>
      <c r="G399" s="4" t="s">
        <v>39</v>
      </c>
      <c r="H399" s="6">
        <f t="shared" si="6"/>
        <v>7380.9800000000005</v>
      </c>
    </row>
    <row r="400" spans="1:8" x14ac:dyDescent="0.2">
      <c r="A400" s="2" t="s">
        <v>457</v>
      </c>
      <c r="B400" s="2" t="s">
        <v>450</v>
      </c>
      <c r="C400" s="2" t="s">
        <v>27</v>
      </c>
      <c r="D400" s="3">
        <v>2574</v>
      </c>
      <c r="E400" s="4" t="s">
        <v>20</v>
      </c>
      <c r="F400" s="5">
        <v>1.89</v>
      </c>
      <c r="G400" s="4" t="s">
        <v>21</v>
      </c>
      <c r="H400" s="6">
        <f t="shared" si="6"/>
        <v>4864.8599999999997</v>
      </c>
    </row>
    <row r="401" spans="1:8" x14ac:dyDescent="0.2">
      <c r="A401" s="2" t="s">
        <v>458</v>
      </c>
      <c r="B401" s="2" t="s">
        <v>450</v>
      </c>
      <c r="C401" s="2" t="s">
        <v>46</v>
      </c>
      <c r="D401" s="3">
        <v>3323</v>
      </c>
      <c r="E401" s="4" t="s">
        <v>20</v>
      </c>
      <c r="F401" s="5">
        <v>3.42</v>
      </c>
      <c r="G401" s="4" t="s">
        <v>21</v>
      </c>
      <c r="H401" s="6">
        <f t="shared" si="6"/>
        <v>11364.66</v>
      </c>
    </row>
    <row r="402" spans="1:8" x14ac:dyDescent="0.2">
      <c r="A402" s="2" t="s">
        <v>459</v>
      </c>
      <c r="B402" s="2" t="s">
        <v>450</v>
      </c>
      <c r="C402" s="2" t="s">
        <v>52</v>
      </c>
      <c r="D402" s="3">
        <v>2381</v>
      </c>
      <c r="E402" s="4" t="s">
        <v>53</v>
      </c>
      <c r="F402" s="5">
        <v>9.58</v>
      </c>
      <c r="G402" s="4" t="s">
        <v>54</v>
      </c>
      <c r="H402" s="6">
        <f t="shared" si="6"/>
        <v>22809.98</v>
      </c>
    </row>
    <row r="403" spans="1:8" x14ac:dyDescent="0.2">
      <c r="A403" s="2" t="s">
        <v>460</v>
      </c>
      <c r="B403" s="2" t="s">
        <v>450</v>
      </c>
      <c r="C403" s="2" t="s">
        <v>33</v>
      </c>
      <c r="D403" s="3">
        <v>2670</v>
      </c>
      <c r="E403" s="4" t="s">
        <v>34</v>
      </c>
      <c r="F403" s="5">
        <v>3.93</v>
      </c>
      <c r="G403" s="4" t="s">
        <v>35</v>
      </c>
      <c r="H403" s="6">
        <f t="shared" si="6"/>
        <v>10493.1</v>
      </c>
    </row>
    <row r="404" spans="1:8" x14ac:dyDescent="0.2">
      <c r="A404" s="2" t="s">
        <v>461</v>
      </c>
      <c r="B404" s="2" t="s">
        <v>450</v>
      </c>
      <c r="C404" s="2" t="s">
        <v>147</v>
      </c>
      <c r="D404" s="3">
        <v>3779</v>
      </c>
      <c r="E404" s="4" t="s">
        <v>53</v>
      </c>
      <c r="F404" s="5">
        <v>14.66</v>
      </c>
      <c r="G404" s="4" t="s">
        <v>54</v>
      </c>
      <c r="H404" s="6">
        <f t="shared" si="6"/>
        <v>55400.14</v>
      </c>
    </row>
    <row r="405" spans="1:8" x14ac:dyDescent="0.2">
      <c r="A405" s="2" t="s">
        <v>462</v>
      </c>
      <c r="B405" s="2" t="s">
        <v>450</v>
      </c>
      <c r="C405" s="2" t="s">
        <v>19</v>
      </c>
      <c r="D405" s="3">
        <v>731</v>
      </c>
      <c r="E405" s="4" t="s">
        <v>20</v>
      </c>
      <c r="F405" s="5">
        <v>1.36</v>
      </c>
      <c r="G405" s="4" t="s">
        <v>21</v>
      </c>
      <c r="H405" s="6">
        <f t="shared" si="6"/>
        <v>994.16000000000008</v>
      </c>
    </row>
    <row r="406" spans="1:8" x14ac:dyDescent="0.2">
      <c r="A406" s="2" t="s">
        <v>463</v>
      </c>
      <c r="B406" s="2" t="s">
        <v>450</v>
      </c>
      <c r="C406" s="2" t="s">
        <v>50</v>
      </c>
      <c r="D406" s="3">
        <v>2003</v>
      </c>
      <c r="E406" s="4" t="s">
        <v>20</v>
      </c>
      <c r="F406" s="5">
        <v>0.96</v>
      </c>
      <c r="G406" s="4" t="s">
        <v>21</v>
      </c>
      <c r="H406" s="6">
        <f t="shared" si="6"/>
        <v>1922.8799999999999</v>
      </c>
    </row>
    <row r="407" spans="1:8" x14ac:dyDescent="0.2">
      <c r="A407" s="2" t="s">
        <v>464</v>
      </c>
      <c r="B407" s="2" t="s">
        <v>450</v>
      </c>
      <c r="C407" s="2" t="s">
        <v>67</v>
      </c>
      <c r="D407" s="3">
        <v>4302</v>
      </c>
      <c r="E407" s="4" t="s">
        <v>24</v>
      </c>
      <c r="F407" s="5">
        <v>0.32</v>
      </c>
      <c r="G407" s="4" t="s">
        <v>25</v>
      </c>
      <c r="H407" s="6">
        <f t="shared" si="6"/>
        <v>1376.64</v>
      </c>
    </row>
    <row r="408" spans="1:8" x14ac:dyDescent="0.2">
      <c r="A408" s="2" t="s">
        <v>465</v>
      </c>
      <c r="B408" s="2" t="s">
        <v>450</v>
      </c>
      <c r="C408" s="2" t="s">
        <v>71</v>
      </c>
      <c r="D408" s="3">
        <v>2791</v>
      </c>
      <c r="E408" s="4" t="s">
        <v>72</v>
      </c>
      <c r="F408" s="5">
        <v>2532.94</v>
      </c>
      <c r="G408" s="4" t="s">
        <v>73</v>
      </c>
      <c r="H408" s="6">
        <f t="shared" si="6"/>
        <v>7069435.54</v>
      </c>
    </row>
    <row r="409" spans="1:8" x14ac:dyDescent="0.2">
      <c r="A409" s="2" t="s">
        <v>466</v>
      </c>
      <c r="B409" s="2" t="s">
        <v>450</v>
      </c>
      <c r="C409" s="2" t="s">
        <v>118</v>
      </c>
      <c r="D409" s="3">
        <v>635</v>
      </c>
      <c r="E409" s="4" t="s">
        <v>24</v>
      </c>
      <c r="F409" s="5">
        <v>0.76</v>
      </c>
      <c r="G409" s="4" t="s">
        <v>25</v>
      </c>
      <c r="H409" s="6">
        <f t="shared" si="6"/>
        <v>482.6</v>
      </c>
    </row>
    <row r="410" spans="1:8" x14ac:dyDescent="0.2">
      <c r="A410" s="2" t="s">
        <v>467</v>
      </c>
      <c r="B410" s="2" t="s">
        <v>450</v>
      </c>
      <c r="C410" s="2" t="s">
        <v>50</v>
      </c>
      <c r="D410" s="3">
        <v>4356</v>
      </c>
      <c r="E410" s="4" t="s">
        <v>20</v>
      </c>
      <c r="F410" s="5">
        <v>1.01</v>
      </c>
      <c r="G410" s="4" t="s">
        <v>21</v>
      </c>
      <c r="H410" s="6">
        <f t="shared" si="6"/>
        <v>4399.5600000000004</v>
      </c>
    </row>
    <row r="411" spans="1:8" x14ac:dyDescent="0.2">
      <c r="A411" s="2" t="s">
        <v>468</v>
      </c>
      <c r="B411" s="2" t="s">
        <v>450</v>
      </c>
      <c r="C411" s="2" t="s">
        <v>19</v>
      </c>
      <c r="D411" s="3">
        <v>2886</v>
      </c>
      <c r="E411" s="4" t="s">
        <v>20</v>
      </c>
      <c r="F411" s="5">
        <v>1.54</v>
      </c>
      <c r="G411" s="4" t="s">
        <v>21</v>
      </c>
      <c r="H411" s="6">
        <f t="shared" si="6"/>
        <v>4444.4400000000005</v>
      </c>
    </row>
    <row r="412" spans="1:8" x14ac:dyDescent="0.2">
      <c r="A412" s="2" t="s">
        <v>469</v>
      </c>
      <c r="B412" s="2" t="s">
        <v>450</v>
      </c>
      <c r="C412" s="2" t="s">
        <v>89</v>
      </c>
      <c r="D412" s="3">
        <v>1945</v>
      </c>
      <c r="E412" s="4" t="s">
        <v>30</v>
      </c>
      <c r="F412" s="5">
        <v>1.92</v>
      </c>
      <c r="G412" s="4" t="s">
        <v>31</v>
      </c>
      <c r="H412" s="6">
        <f t="shared" si="6"/>
        <v>3734.3999999999996</v>
      </c>
    </row>
    <row r="413" spans="1:8" x14ac:dyDescent="0.2">
      <c r="A413" s="2" t="s">
        <v>470</v>
      </c>
      <c r="B413" s="2" t="s">
        <v>450</v>
      </c>
      <c r="C413" s="2" t="s">
        <v>86</v>
      </c>
      <c r="D413" s="3">
        <v>1626</v>
      </c>
      <c r="E413" s="4" t="s">
        <v>72</v>
      </c>
      <c r="F413" s="5">
        <v>8042.9</v>
      </c>
      <c r="G413" s="4" t="s">
        <v>73</v>
      </c>
      <c r="H413" s="6">
        <f t="shared" si="6"/>
        <v>13077755.399999999</v>
      </c>
    </row>
    <row r="414" spans="1:8" x14ac:dyDescent="0.2">
      <c r="A414" s="2" t="s">
        <v>471</v>
      </c>
      <c r="B414" s="2" t="s">
        <v>450</v>
      </c>
      <c r="C414" s="2" t="s">
        <v>89</v>
      </c>
      <c r="D414" s="3">
        <v>627</v>
      </c>
      <c r="E414" s="4" t="s">
        <v>30</v>
      </c>
      <c r="F414" s="5">
        <v>2.0099999999999998</v>
      </c>
      <c r="G414" s="4" t="s">
        <v>31</v>
      </c>
      <c r="H414" s="6">
        <f t="shared" si="6"/>
        <v>1260.2699999999998</v>
      </c>
    </row>
    <row r="415" spans="1:8" x14ac:dyDescent="0.2">
      <c r="A415" s="2" t="s">
        <v>472</v>
      </c>
      <c r="B415" s="2" t="s">
        <v>450</v>
      </c>
      <c r="C415" s="2" t="s">
        <v>48</v>
      </c>
      <c r="D415" s="3">
        <v>3810</v>
      </c>
      <c r="E415" s="4" t="s">
        <v>24</v>
      </c>
      <c r="F415" s="5">
        <v>0.16</v>
      </c>
      <c r="G415" s="4" t="s">
        <v>25</v>
      </c>
      <c r="H415" s="6">
        <f t="shared" si="6"/>
        <v>609.6</v>
      </c>
    </row>
    <row r="416" spans="1:8" x14ac:dyDescent="0.2">
      <c r="A416" s="2" t="s">
        <v>473</v>
      </c>
      <c r="B416" s="2" t="s">
        <v>450</v>
      </c>
      <c r="C416" s="2" t="s">
        <v>46</v>
      </c>
      <c r="D416" s="3">
        <v>3687</v>
      </c>
      <c r="E416" s="4" t="s">
        <v>20</v>
      </c>
      <c r="F416" s="5">
        <v>3.36</v>
      </c>
      <c r="G416" s="4" t="s">
        <v>21</v>
      </c>
      <c r="H416" s="6">
        <f t="shared" si="6"/>
        <v>12388.32</v>
      </c>
    </row>
    <row r="417" spans="1:8" x14ac:dyDescent="0.2">
      <c r="A417" s="2" t="s">
        <v>474</v>
      </c>
      <c r="B417" s="2" t="s">
        <v>450</v>
      </c>
      <c r="C417" s="2" t="s">
        <v>46</v>
      </c>
      <c r="D417" s="3">
        <v>2657</v>
      </c>
      <c r="E417" s="4" t="s">
        <v>20</v>
      </c>
      <c r="F417" s="5">
        <v>3.73</v>
      </c>
      <c r="G417" s="4" t="s">
        <v>21</v>
      </c>
      <c r="H417" s="6">
        <f t="shared" si="6"/>
        <v>9910.61</v>
      </c>
    </row>
    <row r="418" spans="1:8" x14ac:dyDescent="0.2">
      <c r="A418" s="2" t="s">
        <v>475</v>
      </c>
      <c r="B418" s="2" t="s">
        <v>450</v>
      </c>
      <c r="C418" s="2" t="s">
        <v>57</v>
      </c>
      <c r="D418" s="3">
        <v>1246</v>
      </c>
      <c r="E418" s="4" t="s">
        <v>20</v>
      </c>
      <c r="F418" s="5">
        <v>0.78</v>
      </c>
      <c r="G418" s="4" t="s">
        <v>21</v>
      </c>
      <c r="H418" s="6">
        <f t="shared" si="6"/>
        <v>971.88</v>
      </c>
    </row>
    <row r="419" spans="1:8" x14ac:dyDescent="0.2">
      <c r="A419" s="2" t="s">
        <v>476</v>
      </c>
      <c r="B419" s="2" t="s">
        <v>450</v>
      </c>
      <c r="C419" s="2" t="s">
        <v>48</v>
      </c>
      <c r="D419" s="3">
        <v>3632</v>
      </c>
      <c r="E419" s="4" t="s">
        <v>24</v>
      </c>
      <c r="F419" s="5">
        <v>0.14000000000000001</v>
      </c>
      <c r="G419" s="4" t="s">
        <v>25</v>
      </c>
      <c r="H419" s="6">
        <f t="shared" si="6"/>
        <v>508.48000000000008</v>
      </c>
    </row>
    <row r="420" spans="1:8" x14ac:dyDescent="0.2">
      <c r="A420" s="2" t="s">
        <v>477</v>
      </c>
      <c r="B420" s="2" t="s">
        <v>450</v>
      </c>
      <c r="C420" s="2" t="s">
        <v>86</v>
      </c>
      <c r="D420" s="3">
        <v>4854</v>
      </c>
      <c r="E420" s="4" t="s">
        <v>72</v>
      </c>
      <c r="F420" s="5">
        <v>7878.64</v>
      </c>
      <c r="G420" s="4" t="s">
        <v>73</v>
      </c>
      <c r="H420" s="6">
        <f t="shared" si="6"/>
        <v>38242918.560000002</v>
      </c>
    </row>
    <row r="421" spans="1:8" x14ac:dyDescent="0.2">
      <c r="A421" s="2" t="s">
        <v>478</v>
      </c>
      <c r="B421" s="2" t="s">
        <v>450</v>
      </c>
      <c r="C421" s="2" t="s">
        <v>78</v>
      </c>
      <c r="D421" s="3">
        <v>617</v>
      </c>
      <c r="E421" s="4" t="s">
        <v>38</v>
      </c>
      <c r="F421" s="5">
        <v>2.0299999999999998</v>
      </c>
      <c r="G421" s="4" t="s">
        <v>39</v>
      </c>
      <c r="H421" s="6">
        <f t="shared" si="6"/>
        <v>1252.51</v>
      </c>
    </row>
    <row r="422" spans="1:8" x14ac:dyDescent="0.2">
      <c r="A422" s="2" t="s">
        <v>479</v>
      </c>
      <c r="B422" s="2" t="s">
        <v>450</v>
      </c>
      <c r="C422" s="2" t="s">
        <v>23</v>
      </c>
      <c r="D422" s="3">
        <v>318</v>
      </c>
      <c r="E422" s="4" t="s">
        <v>24</v>
      </c>
      <c r="F422" s="5">
        <v>12.34</v>
      </c>
      <c r="G422" s="4" t="s">
        <v>25</v>
      </c>
      <c r="H422" s="6">
        <f t="shared" si="6"/>
        <v>3924.12</v>
      </c>
    </row>
    <row r="423" spans="1:8" x14ac:dyDescent="0.2">
      <c r="A423" s="2" t="s">
        <v>480</v>
      </c>
      <c r="B423" s="2" t="s">
        <v>450</v>
      </c>
      <c r="C423" s="2" t="s">
        <v>71</v>
      </c>
      <c r="D423" s="3">
        <v>638</v>
      </c>
      <c r="E423" s="4" t="s">
        <v>72</v>
      </c>
      <c r="F423" s="5">
        <v>2786.8</v>
      </c>
      <c r="G423" s="4" t="s">
        <v>73</v>
      </c>
      <c r="H423" s="6">
        <f t="shared" si="6"/>
        <v>1777978.4000000001</v>
      </c>
    </row>
    <row r="424" spans="1:8" x14ac:dyDescent="0.2">
      <c r="A424" s="2" t="s">
        <v>481</v>
      </c>
      <c r="B424" s="2" t="s">
        <v>450</v>
      </c>
      <c r="C424" s="2" t="s">
        <v>27</v>
      </c>
      <c r="D424" s="3">
        <v>4876</v>
      </c>
      <c r="E424" s="4" t="s">
        <v>20</v>
      </c>
      <c r="F424" s="5">
        <v>1.81</v>
      </c>
      <c r="G424" s="4" t="s">
        <v>21</v>
      </c>
      <c r="H424" s="6">
        <f t="shared" si="6"/>
        <v>8825.56</v>
      </c>
    </row>
    <row r="425" spans="1:8" x14ac:dyDescent="0.2">
      <c r="A425" s="2" t="s">
        <v>482</v>
      </c>
      <c r="B425" s="2" t="s">
        <v>450</v>
      </c>
      <c r="C425" s="2" t="s">
        <v>23</v>
      </c>
      <c r="D425" s="3">
        <v>4764</v>
      </c>
      <c r="E425" s="4" t="s">
        <v>24</v>
      </c>
      <c r="F425" s="5">
        <v>15.33</v>
      </c>
      <c r="G425" s="4" t="s">
        <v>25</v>
      </c>
      <c r="H425" s="6">
        <f t="shared" si="6"/>
        <v>73032.12</v>
      </c>
    </row>
    <row r="426" spans="1:8" x14ac:dyDescent="0.2">
      <c r="A426" s="2" t="s">
        <v>483</v>
      </c>
      <c r="B426" s="2" t="s">
        <v>450</v>
      </c>
      <c r="C426" s="2" t="s">
        <v>37</v>
      </c>
      <c r="D426" s="3">
        <v>3694</v>
      </c>
      <c r="E426" s="4" t="s">
        <v>38</v>
      </c>
      <c r="F426" s="5">
        <v>4.7300000000000004</v>
      </c>
      <c r="G426" s="4" t="s">
        <v>39</v>
      </c>
      <c r="H426" s="6">
        <f t="shared" si="6"/>
        <v>17472.620000000003</v>
      </c>
    </row>
    <row r="427" spans="1:8" x14ac:dyDescent="0.2">
      <c r="A427" s="2" t="s">
        <v>484</v>
      </c>
      <c r="B427" s="2" t="s">
        <v>450</v>
      </c>
      <c r="C427" s="2" t="s">
        <v>46</v>
      </c>
      <c r="D427" s="3">
        <v>1552</v>
      </c>
      <c r="E427" s="4" t="s">
        <v>20</v>
      </c>
      <c r="F427" s="5">
        <v>2.64</v>
      </c>
      <c r="G427" s="4" t="s">
        <v>21</v>
      </c>
      <c r="H427" s="6">
        <f t="shared" si="6"/>
        <v>4097.28</v>
      </c>
    </row>
    <row r="428" spans="1:8" x14ac:dyDescent="0.2">
      <c r="A428" s="2" t="s">
        <v>485</v>
      </c>
      <c r="B428" s="2" t="s">
        <v>450</v>
      </c>
      <c r="C428" s="2" t="s">
        <v>48</v>
      </c>
      <c r="D428" s="3">
        <v>4117</v>
      </c>
      <c r="E428" s="4" t="s">
        <v>24</v>
      </c>
      <c r="F428" s="5">
        <v>7.0000000000000007E-2</v>
      </c>
      <c r="G428" s="4" t="s">
        <v>25</v>
      </c>
      <c r="H428" s="6">
        <f t="shared" si="6"/>
        <v>288.19000000000005</v>
      </c>
    </row>
    <row r="429" spans="1:8" x14ac:dyDescent="0.2">
      <c r="A429" s="2" t="s">
        <v>486</v>
      </c>
      <c r="B429" s="2" t="s">
        <v>450</v>
      </c>
      <c r="C429" s="2" t="s">
        <v>37</v>
      </c>
      <c r="D429" s="3">
        <v>3700</v>
      </c>
      <c r="E429" s="4" t="s">
        <v>38</v>
      </c>
      <c r="F429" s="5">
        <v>2.31</v>
      </c>
      <c r="G429" s="4" t="s">
        <v>39</v>
      </c>
      <c r="H429" s="6">
        <f t="shared" si="6"/>
        <v>8547</v>
      </c>
    </row>
    <row r="430" spans="1:8" x14ac:dyDescent="0.2">
      <c r="A430" s="2" t="s">
        <v>487</v>
      </c>
      <c r="B430" s="2" t="s">
        <v>450</v>
      </c>
      <c r="C430" s="2" t="s">
        <v>57</v>
      </c>
      <c r="D430" s="3">
        <v>700</v>
      </c>
      <c r="E430" s="4" t="s">
        <v>20</v>
      </c>
      <c r="F430" s="5">
        <v>0.8</v>
      </c>
      <c r="G430" s="4" t="s">
        <v>21</v>
      </c>
      <c r="H430" s="6">
        <f t="shared" si="6"/>
        <v>560</v>
      </c>
    </row>
    <row r="431" spans="1:8" x14ac:dyDescent="0.2">
      <c r="A431" s="2" t="s">
        <v>488</v>
      </c>
      <c r="B431" s="2" t="s">
        <v>450</v>
      </c>
      <c r="C431" s="2" t="s">
        <v>118</v>
      </c>
      <c r="D431" s="3">
        <v>330</v>
      </c>
      <c r="E431" s="4" t="s">
        <v>24</v>
      </c>
      <c r="F431" s="5">
        <v>0.56999999999999995</v>
      </c>
      <c r="G431" s="4" t="s">
        <v>25</v>
      </c>
      <c r="H431" s="6">
        <f t="shared" si="6"/>
        <v>188.1</v>
      </c>
    </row>
    <row r="432" spans="1:8" x14ac:dyDescent="0.2">
      <c r="A432" s="2" t="s">
        <v>489</v>
      </c>
      <c r="B432" s="2" t="s">
        <v>450</v>
      </c>
      <c r="C432" s="2" t="s">
        <v>23</v>
      </c>
      <c r="D432" s="3">
        <v>3609</v>
      </c>
      <c r="E432" s="4" t="s">
        <v>24</v>
      </c>
      <c r="F432" s="5">
        <v>15.14</v>
      </c>
      <c r="G432" s="4" t="s">
        <v>25</v>
      </c>
      <c r="H432" s="6">
        <f t="shared" si="6"/>
        <v>54640.26</v>
      </c>
    </row>
    <row r="433" spans="1:8" x14ac:dyDescent="0.2">
      <c r="A433" s="2" t="s">
        <v>490</v>
      </c>
      <c r="B433" s="2" t="s">
        <v>450</v>
      </c>
      <c r="C433" s="2" t="s">
        <v>147</v>
      </c>
      <c r="D433" s="3">
        <v>1310</v>
      </c>
      <c r="E433" s="4" t="s">
        <v>53</v>
      </c>
      <c r="F433" s="5">
        <v>10.91</v>
      </c>
      <c r="G433" s="4" t="s">
        <v>54</v>
      </c>
      <c r="H433" s="6">
        <f t="shared" si="6"/>
        <v>14292.1</v>
      </c>
    </row>
    <row r="434" spans="1:8" x14ac:dyDescent="0.2">
      <c r="A434" s="2" t="s">
        <v>491</v>
      </c>
      <c r="B434" s="2" t="s">
        <v>450</v>
      </c>
      <c r="C434" s="2" t="s">
        <v>71</v>
      </c>
      <c r="D434" s="3">
        <v>3183</v>
      </c>
      <c r="E434" s="4" t="s">
        <v>72</v>
      </c>
      <c r="F434" s="5">
        <v>2645.26</v>
      </c>
      <c r="G434" s="4" t="s">
        <v>73</v>
      </c>
      <c r="H434" s="6">
        <f t="shared" si="6"/>
        <v>8419862.5800000001</v>
      </c>
    </row>
    <row r="435" spans="1:8" x14ac:dyDescent="0.2">
      <c r="A435" s="2" t="s">
        <v>492</v>
      </c>
      <c r="B435" s="2" t="s">
        <v>450</v>
      </c>
      <c r="C435" s="2" t="s">
        <v>57</v>
      </c>
      <c r="D435" s="3">
        <v>4907</v>
      </c>
      <c r="E435" s="4" t="s">
        <v>20</v>
      </c>
      <c r="F435" s="5">
        <v>0.62</v>
      </c>
      <c r="G435" s="4" t="s">
        <v>21</v>
      </c>
      <c r="H435" s="6">
        <f t="shared" si="6"/>
        <v>3042.34</v>
      </c>
    </row>
    <row r="436" spans="1:8" x14ac:dyDescent="0.2">
      <c r="A436" s="2" t="s">
        <v>493</v>
      </c>
      <c r="B436" s="2" t="s">
        <v>450</v>
      </c>
      <c r="C436" s="2" t="s">
        <v>57</v>
      </c>
      <c r="D436" s="3">
        <v>549</v>
      </c>
      <c r="E436" s="4" t="s">
        <v>20</v>
      </c>
      <c r="F436" s="5">
        <v>0.73</v>
      </c>
      <c r="G436" s="4" t="s">
        <v>21</v>
      </c>
      <c r="H436" s="6">
        <f t="shared" si="6"/>
        <v>400.77</v>
      </c>
    </row>
    <row r="437" spans="1:8" x14ac:dyDescent="0.2">
      <c r="A437" s="2" t="s">
        <v>494</v>
      </c>
      <c r="B437" s="2" t="s">
        <v>450</v>
      </c>
      <c r="C437" s="2" t="s">
        <v>29</v>
      </c>
      <c r="D437" s="3">
        <v>3176</v>
      </c>
      <c r="E437" s="4" t="s">
        <v>30</v>
      </c>
      <c r="F437" s="5">
        <v>1.34</v>
      </c>
      <c r="G437" s="4" t="s">
        <v>31</v>
      </c>
      <c r="H437" s="6">
        <f t="shared" si="6"/>
        <v>4255.84</v>
      </c>
    </row>
    <row r="438" spans="1:8" x14ac:dyDescent="0.2">
      <c r="A438" s="2" t="s">
        <v>495</v>
      </c>
      <c r="B438" s="2" t="s">
        <v>450</v>
      </c>
      <c r="C438" s="2" t="s">
        <v>147</v>
      </c>
      <c r="D438" s="3">
        <v>1241</v>
      </c>
      <c r="E438" s="4" t="s">
        <v>53</v>
      </c>
      <c r="F438" s="5">
        <v>10.67</v>
      </c>
      <c r="G438" s="4" t="s">
        <v>54</v>
      </c>
      <c r="H438" s="6">
        <f t="shared" si="6"/>
        <v>13241.47</v>
      </c>
    </row>
    <row r="439" spans="1:8" x14ac:dyDescent="0.2">
      <c r="A439" s="2" t="s">
        <v>496</v>
      </c>
      <c r="B439" s="2" t="s">
        <v>450</v>
      </c>
      <c r="C439" s="2" t="s">
        <v>46</v>
      </c>
      <c r="D439" s="3">
        <v>1168</v>
      </c>
      <c r="E439" s="4" t="s">
        <v>20</v>
      </c>
      <c r="F439" s="5">
        <v>3.83</v>
      </c>
      <c r="G439" s="4" t="s">
        <v>21</v>
      </c>
      <c r="H439" s="6">
        <f t="shared" si="6"/>
        <v>4473.4400000000005</v>
      </c>
    </row>
    <row r="440" spans="1:8" x14ac:dyDescent="0.2">
      <c r="A440" s="2" t="s">
        <v>497</v>
      </c>
      <c r="B440" s="2" t="s">
        <v>450</v>
      </c>
      <c r="C440" s="2" t="s">
        <v>71</v>
      </c>
      <c r="D440" s="3">
        <v>3220</v>
      </c>
      <c r="E440" s="4" t="s">
        <v>72</v>
      </c>
      <c r="F440" s="5">
        <v>2477.37</v>
      </c>
      <c r="G440" s="4" t="s">
        <v>73</v>
      </c>
      <c r="H440" s="6">
        <f t="shared" si="6"/>
        <v>7977131.3999999994</v>
      </c>
    </row>
    <row r="441" spans="1:8" x14ac:dyDescent="0.2">
      <c r="A441" s="2" t="s">
        <v>498</v>
      </c>
      <c r="B441" s="2" t="s">
        <v>450</v>
      </c>
      <c r="C441" s="2" t="s">
        <v>27</v>
      </c>
      <c r="D441" s="3">
        <v>2546</v>
      </c>
      <c r="E441" s="4" t="s">
        <v>20</v>
      </c>
      <c r="F441" s="5">
        <v>1.87</v>
      </c>
      <c r="G441" s="4" t="s">
        <v>21</v>
      </c>
      <c r="H441" s="6">
        <f t="shared" si="6"/>
        <v>4761.0200000000004</v>
      </c>
    </row>
    <row r="442" spans="1:8" x14ac:dyDescent="0.2">
      <c r="A442" s="2" t="s">
        <v>499</v>
      </c>
      <c r="B442" s="2" t="s">
        <v>450</v>
      </c>
      <c r="C442" s="2" t="s">
        <v>57</v>
      </c>
      <c r="D442" s="3">
        <v>1056</v>
      </c>
      <c r="E442" s="4" t="s">
        <v>20</v>
      </c>
      <c r="F442" s="5">
        <v>0.87</v>
      </c>
      <c r="G442" s="4" t="s">
        <v>21</v>
      </c>
      <c r="H442" s="6">
        <f t="shared" si="6"/>
        <v>918.72</v>
      </c>
    </row>
    <row r="443" spans="1:8" x14ac:dyDescent="0.2">
      <c r="A443" s="2" t="s">
        <v>500</v>
      </c>
      <c r="B443" s="2" t="s">
        <v>450</v>
      </c>
      <c r="C443" s="2" t="s">
        <v>78</v>
      </c>
      <c r="D443" s="3">
        <v>775</v>
      </c>
      <c r="E443" s="4" t="s">
        <v>38</v>
      </c>
      <c r="F443" s="5">
        <v>2.6</v>
      </c>
      <c r="G443" s="4" t="s">
        <v>39</v>
      </c>
      <c r="H443" s="6">
        <f t="shared" si="6"/>
        <v>2015</v>
      </c>
    </row>
    <row r="444" spans="1:8" x14ac:dyDescent="0.2">
      <c r="A444" s="2" t="s">
        <v>501</v>
      </c>
      <c r="B444" s="2" t="s">
        <v>450</v>
      </c>
      <c r="C444" s="2" t="s">
        <v>52</v>
      </c>
      <c r="D444" s="3">
        <v>4175</v>
      </c>
      <c r="E444" s="4" t="s">
        <v>53</v>
      </c>
      <c r="F444" s="5">
        <v>10.81</v>
      </c>
      <c r="G444" s="4" t="s">
        <v>54</v>
      </c>
      <c r="H444" s="6">
        <f t="shared" si="6"/>
        <v>45131.75</v>
      </c>
    </row>
    <row r="445" spans="1:8" x14ac:dyDescent="0.2">
      <c r="A445" s="2" t="s">
        <v>502</v>
      </c>
      <c r="B445" s="2" t="s">
        <v>450</v>
      </c>
      <c r="C445" s="2" t="s">
        <v>19</v>
      </c>
      <c r="D445" s="3">
        <v>2540</v>
      </c>
      <c r="E445" s="4" t="s">
        <v>20</v>
      </c>
      <c r="F445" s="5">
        <v>1.21</v>
      </c>
      <c r="G445" s="4" t="s">
        <v>21</v>
      </c>
      <c r="H445" s="6">
        <f t="shared" si="6"/>
        <v>3073.4</v>
      </c>
    </row>
    <row r="446" spans="1:8" x14ac:dyDescent="0.2">
      <c r="A446" s="2" t="s">
        <v>503</v>
      </c>
      <c r="B446" s="2" t="s">
        <v>450</v>
      </c>
      <c r="C446" s="2" t="s">
        <v>44</v>
      </c>
      <c r="D446" s="3">
        <v>2809</v>
      </c>
      <c r="E446" s="4" t="s">
        <v>24</v>
      </c>
      <c r="F446" s="5">
        <v>1.56</v>
      </c>
      <c r="G446" s="4" t="s">
        <v>25</v>
      </c>
      <c r="H446" s="6">
        <f t="shared" si="6"/>
        <v>4382.04</v>
      </c>
    </row>
    <row r="447" spans="1:8" x14ac:dyDescent="0.2">
      <c r="A447" s="2" t="s">
        <v>504</v>
      </c>
      <c r="B447" s="2" t="s">
        <v>450</v>
      </c>
      <c r="C447" s="2" t="s">
        <v>48</v>
      </c>
      <c r="D447" s="3">
        <v>1582</v>
      </c>
      <c r="E447" s="4" t="s">
        <v>24</v>
      </c>
      <c r="F447" s="5">
        <v>0.08</v>
      </c>
      <c r="G447" s="4" t="s">
        <v>25</v>
      </c>
      <c r="H447" s="6">
        <f t="shared" si="6"/>
        <v>126.56</v>
      </c>
    </row>
    <row r="448" spans="1:8" x14ac:dyDescent="0.2">
      <c r="A448" s="2" t="s">
        <v>505</v>
      </c>
      <c r="B448" s="2" t="s">
        <v>450</v>
      </c>
      <c r="C448" s="2" t="s">
        <v>89</v>
      </c>
      <c r="D448" s="3">
        <v>1279</v>
      </c>
      <c r="E448" s="4" t="s">
        <v>30</v>
      </c>
      <c r="F448" s="5">
        <v>1.89</v>
      </c>
      <c r="G448" s="4" t="s">
        <v>31</v>
      </c>
      <c r="H448" s="6">
        <f t="shared" si="6"/>
        <v>2417.31</v>
      </c>
    </row>
    <row r="449" spans="1:8" x14ac:dyDescent="0.2">
      <c r="A449" s="2" t="s">
        <v>506</v>
      </c>
      <c r="B449" s="2" t="s">
        <v>450</v>
      </c>
      <c r="C449" s="2" t="s">
        <v>50</v>
      </c>
      <c r="D449" s="3">
        <v>4168</v>
      </c>
      <c r="E449" s="4" t="s">
        <v>20</v>
      </c>
      <c r="F449" s="5">
        <v>1.1599999999999999</v>
      </c>
      <c r="G449" s="4" t="s">
        <v>21</v>
      </c>
      <c r="H449" s="6">
        <f t="shared" si="6"/>
        <v>4834.88</v>
      </c>
    </row>
    <row r="450" spans="1:8" x14ac:dyDescent="0.2">
      <c r="A450" s="2" t="s">
        <v>507</v>
      </c>
      <c r="B450" s="2" t="s">
        <v>450</v>
      </c>
      <c r="C450" s="2" t="s">
        <v>78</v>
      </c>
      <c r="D450" s="3">
        <v>319</v>
      </c>
      <c r="E450" s="4" t="s">
        <v>38</v>
      </c>
      <c r="F450" s="5">
        <v>2.63</v>
      </c>
      <c r="G450" s="4" t="s">
        <v>39</v>
      </c>
      <c r="H450" s="6">
        <f t="shared" ref="H450:H513" si="7">D450*F450</f>
        <v>838.96999999999991</v>
      </c>
    </row>
    <row r="451" spans="1:8" x14ac:dyDescent="0.2">
      <c r="A451" s="2" t="s">
        <v>508</v>
      </c>
      <c r="B451" s="2" t="s">
        <v>450</v>
      </c>
      <c r="C451" s="2" t="s">
        <v>147</v>
      </c>
      <c r="D451" s="3">
        <v>1083</v>
      </c>
      <c r="E451" s="4" t="s">
        <v>53</v>
      </c>
      <c r="F451" s="5">
        <v>12.78</v>
      </c>
      <c r="G451" s="4" t="s">
        <v>54</v>
      </c>
      <c r="H451" s="6">
        <f t="shared" si="7"/>
        <v>13840.74</v>
      </c>
    </row>
    <row r="452" spans="1:8" x14ac:dyDescent="0.2">
      <c r="A452" s="2" t="s">
        <v>509</v>
      </c>
      <c r="B452" s="2" t="s">
        <v>450</v>
      </c>
      <c r="C452" s="2" t="s">
        <v>89</v>
      </c>
      <c r="D452" s="3">
        <v>1339</v>
      </c>
      <c r="E452" s="4" t="s">
        <v>30</v>
      </c>
      <c r="F452" s="5">
        <v>2.02</v>
      </c>
      <c r="G452" s="4" t="s">
        <v>31</v>
      </c>
      <c r="H452" s="6">
        <f t="shared" si="7"/>
        <v>2704.78</v>
      </c>
    </row>
    <row r="453" spans="1:8" x14ac:dyDescent="0.2">
      <c r="A453" s="2" t="s">
        <v>510</v>
      </c>
      <c r="B453" s="2" t="s">
        <v>450</v>
      </c>
      <c r="C453" s="2" t="s">
        <v>147</v>
      </c>
      <c r="D453" s="3">
        <v>1366</v>
      </c>
      <c r="E453" s="4" t="s">
        <v>53</v>
      </c>
      <c r="F453" s="5">
        <v>13.77</v>
      </c>
      <c r="G453" s="4" t="s">
        <v>54</v>
      </c>
      <c r="H453" s="6">
        <f t="shared" si="7"/>
        <v>18809.82</v>
      </c>
    </row>
    <row r="454" spans="1:8" x14ac:dyDescent="0.2">
      <c r="A454" s="2" t="s">
        <v>511</v>
      </c>
      <c r="B454" s="2" t="s">
        <v>450</v>
      </c>
      <c r="C454" s="2" t="s">
        <v>37</v>
      </c>
      <c r="D454" s="3">
        <v>3375</v>
      </c>
      <c r="E454" s="4" t="s">
        <v>38</v>
      </c>
      <c r="F454" s="5">
        <v>3.09</v>
      </c>
      <c r="G454" s="4" t="s">
        <v>39</v>
      </c>
      <c r="H454" s="6">
        <f t="shared" si="7"/>
        <v>10428.75</v>
      </c>
    </row>
    <row r="455" spans="1:8" x14ac:dyDescent="0.2">
      <c r="A455" s="2" t="s">
        <v>512</v>
      </c>
      <c r="B455" s="2" t="s">
        <v>450</v>
      </c>
      <c r="C455" s="2" t="s">
        <v>42</v>
      </c>
      <c r="D455" s="3">
        <v>3648</v>
      </c>
      <c r="E455" s="4" t="s">
        <v>24</v>
      </c>
      <c r="F455" s="5">
        <v>5.33</v>
      </c>
      <c r="G455" s="4" t="s">
        <v>25</v>
      </c>
      <c r="H455" s="6">
        <f t="shared" si="7"/>
        <v>19443.84</v>
      </c>
    </row>
    <row r="456" spans="1:8" x14ac:dyDescent="0.2">
      <c r="A456" s="2" t="s">
        <v>513</v>
      </c>
      <c r="B456" s="2" t="s">
        <v>450</v>
      </c>
      <c r="C456" s="2" t="s">
        <v>23</v>
      </c>
      <c r="D456" s="3">
        <v>1926</v>
      </c>
      <c r="E456" s="4" t="s">
        <v>24</v>
      </c>
      <c r="F456" s="5">
        <v>15.2</v>
      </c>
      <c r="G456" s="4" t="s">
        <v>25</v>
      </c>
      <c r="H456" s="6">
        <f t="shared" si="7"/>
        <v>29275.199999999997</v>
      </c>
    </row>
    <row r="457" spans="1:8" x14ac:dyDescent="0.2">
      <c r="A457" s="2" t="s">
        <v>514</v>
      </c>
      <c r="B457" s="2" t="s">
        <v>450</v>
      </c>
      <c r="C457" s="2" t="s">
        <v>71</v>
      </c>
      <c r="D457" s="3">
        <v>3852</v>
      </c>
      <c r="E457" s="4" t="s">
        <v>72</v>
      </c>
      <c r="F457" s="5">
        <v>2942.38</v>
      </c>
      <c r="G457" s="4" t="s">
        <v>73</v>
      </c>
      <c r="H457" s="6">
        <f t="shared" si="7"/>
        <v>11334047.76</v>
      </c>
    </row>
    <row r="458" spans="1:8" x14ac:dyDescent="0.2">
      <c r="A458" s="2" t="s">
        <v>515</v>
      </c>
      <c r="B458" s="2" t="s">
        <v>450</v>
      </c>
      <c r="C458" s="2" t="s">
        <v>44</v>
      </c>
      <c r="D458" s="3">
        <v>3023</v>
      </c>
      <c r="E458" s="4" t="s">
        <v>24</v>
      </c>
      <c r="F458" s="5">
        <v>1.37</v>
      </c>
      <c r="G458" s="4" t="s">
        <v>25</v>
      </c>
      <c r="H458" s="6">
        <f t="shared" si="7"/>
        <v>4141.51</v>
      </c>
    </row>
    <row r="459" spans="1:8" x14ac:dyDescent="0.2">
      <c r="A459" s="2" t="s">
        <v>516</v>
      </c>
      <c r="B459" s="2" t="s">
        <v>450</v>
      </c>
      <c r="C459" s="2" t="s">
        <v>46</v>
      </c>
      <c r="D459" s="3">
        <v>3619</v>
      </c>
      <c r="E459" s="4" t="s">
        <v>20</v>
      </c>
      <c r="F459" s="5">
        <v>2.92</v>
      </c>
      <c r="G459" s="4" t="s">
        <v>21</v>
      </c>
      <c r="H459" s="6">
        <f t="shared" si="7"/>
        <v>10567.48</v>
      </c>
    </row>
    <row r="460" spans="1:8" x14ac:dyDescent="0.2">
      <c r="A460" s="2" t="s">
        <v>517</v>
      </c>
      <c r="B460" s="2" t="s">
        <v>450</v>
      </c>
      <c r="C460" s="2" t="s">
        <v>71</v>
      </c>
      <c r="D460" s="3">
        <v>3138</v>
      </c>
      <c r="E460" s="4" t="s">
        <v>72</v>
      </c>
      <c r="F460" s="5">
        <v>2701.74</v>
      </c>
      <c r="G460" s="4" t="s">
        <v>73</v>
      </c>
      <c r="H460" s="6">
        <f t="shared" si="7"/>
        <v>8478060.1199999992</v>
      </c>
    </row>
    <row r="461" spans="1:8" x14ac:dyDescent="0.2">
      <c r="A461" s="2" t="s">
        <v>518</v>
      </c>
      <c r="B461" s="2" t="s">
        <v>519</v>
      </c>
      <c r="C461" s="2" t="s">
        <v>52</v>
      </c>
      <c r="D461" s="3">
        <v>1337</v>
      </c>
      <c r="E461" s="4" t="s">
        <v>53</v>
      </c>
      <c r="F461" s="5">
        <v>13.08</v>
      </c>
      <c r="G461" s="4" t="s">
        <v>54</v>
      </c>
      <c r="H461" s="6">
        <f t="shared" si="7"/>
        <v>17487.96</v>
      </c>
    </row>
    <row r="462" spans="1:8" x14ac:dyDescent="0.2">
      <c r="A462" s="2" t="s">
        <v>520</v>
      </c>
      <c r="B462" s="2" t="s">
        <v>519</v>
      </c>
      <c r="C462" s="2" t="s">
        <v>147</v>
      </c>
      <c r="D462" s="3">
        <v>1143</v>
      </c>
      <c r="E462" s="4" t="s">
        <v>53</v>
      </c>
      <c r="F462" s="5">
        <v>14.98</v>
      </c>
      <c r="G462" s="4" t="s">
        <v>54</v>
      </c>
      <c r="H462" s="6">
        <f t="shared" si="7"/>
        <v>17122.14</v>
      </c>
    </row>
    <row r="463" spans="1:8" x14ac:dyDescent="0.2">
      <c r="A463" s="2" t="s">
        <v>521</v>
      </c>
      <c r="B463" s="2" t="s">
        <v>519</v>
      </c>
      <c r="C463" s="2" t="s">
        <v>37</v>
      </c>
      <c r="D463" s="3">
        <v>3946</v>
      </c>
      <c r="E463" s="4" t="s">
        <v>38</v>
      </c>
      <c r="F463" s="5">
        <v>4.62</v>
      </c>
      <c r="G463" s="4" t="s">
        <v>39</v>
      </c>
      <c r="H463" s="6">
        <f t="shared" si="7"/>
        <v>18230.52</v>
      </c>
    </row>
    <row r="464" spans="1:8" x14ac:dyDescent="0.2">
      <c r="A464" s="2" t="s">
        <v>522</v>
      </c>
      <c r="B464" s="2" t="s">
        <v>519</v>
      </c>
      <c r="C464" s="2" t="s">
        <v>29</v>
      </c>
      <c r="D464" s="3">
        <v>850</v>
      </c>
      <c r="E464" s="4" t="s">
        <v>30</v>
      </c>
      <c r="F464" s="5">
        <v>1.85</v>
      </c>
      <c r="G464" s="4" t="s">
        <v>31</v>
      </c>
      <c r="H464" s="6">
        <f t="shared" si="7"/>
        <v>1572.5</v>
      </c>
    </row>
    <row r="465" spans="1:8" x14ac:dyDescent="0.2">
      <c r="A465" s="2" t="s">
        <v>523</v>
      </c>
      <c r="B465" s="2" t="s">
        <v>519</v>
      </c>
      <c r="C465" s="2" t="s">
        <v>78</v>
      </c>
      <c r="D465" s="3">
        <v>1031</v>
      </c>
      <c r="E465" s="4" t="s">
        <v>38</v>
      </c>
      <c r="F465" s="5">
        <v>1.98</v>
      </c>
      <c r="G465" s="4" t="s">
        <v>39</v>
      </c>
      <c r="H465" s="6">
        <f t="shared" si="7"/>
        <v>2041.3799999999999</v>
      </c>
    </row>
    <row r="466" spans="1:8" x14ac:dyDescent="0.2">
      <c r="A466" s="2" t="s">
        <v>524</v>
      </c>
      <c r="B466" s="2" t="s">
        <v>519</v>
      </c>
      <c r="C466" s="2" t="s">
        <v>118</v>
      </c>
      <c r="D466" s="3">
        <v>2244</v>
      </c>
      <c r="E466" s="4" t="s">
        <v>24</v>
      </c>
      <c r="F466" s="5">
        <v>0.71</v>
      </c>
      <c r="G466" s="4" t="s">
        <v>25</v>
      </c>
      <c r="H466" s="6">
        <f t="shared" si="7"/>
        <v>1593.24</v>
      </c>
    </row>
    <row r="467" spans="1:8" x14ac:dyDescent="0.2">
      <c r="A467" s="2" t="s">
        <v>525</v>
      </c>
      <c r="B467" s="2" t="s">
        <v>519</v>
      </c>
      <c r="C467" s="2" t="s">
        <v>78</v>
      </c>
      <c r="D467" s="3">
        <v>1217</v>
      </c>
      <c r="E467" s="4" t="s">
        <v>38</v>
      </c>
      <c r="F467" s="5">
        <v>2.91</v>
      </c>
      <c r="G467" s="4" t="s">
        <v>39</v>
      </c>
      <c r="H467" s="6">
        <f t="shared" si="7"/>
        <v>3541.4700000000003</v>
      </c>
    </row>
    <row r="468" spans="1:8" x14ac:dyDescent="0.2">
      <c r="A468" s="2" t="s">
        <v>526</v>
      </c>
      <c r="B468" s="2" t="s">
        <v>519</v>
      </c>
      <c r="C468" s="2" t="s">
        <v>27</v>
      </c>
      <c r="D468" s="3">
        <v>1828</v>
      </c>
      <c r="E468" s="4" t="s">
        <v>20</v>
      </c>
      <c r="F468" s="5">
        <v>2.1800000000000002</v>
      </c>
      <c r="G468" s="4" t="s">
        <v>21</v>
      </c>
      <c r="H468" s="6">
        <f t="shared" si="7"/>
        <v>3985.0400000000004</v>
      </c>
    </row>
    <row r="469" spans="1:8" x14ac:dyDescent="0.2">
      <c r="A469" s="2" t="s">
        <v>527</v>
      </c>
      <c r="B469" s="2" t="s">
        <v>519</v>
      </c>
      <c r="C469" s="2" t="s">
        <v>19</v>
      </c>
      <c r="D469" s="3">
        <v>228</v>
      </c>
      <c r="E469" s="4" t="s">
        <v>20</v>
      </c>
      <c r="F469" s="5">
        <v>1.35</v>
      </c>
      <c r="G469" s="4" t="s">
        <v>21</v>
      </c>
      <c r="H469" s="6">
        <f t="shared" si="7"/>
        <v>307.8</v>
      </c>
    </row>
    <row r="470" spans="1:8" x14ac:dyDescent="0.2">
      <c r="A470" s="2" t="s">
        <v>528</v>
      </c>
      <c r="B470" s="2" t="s">
        <v>519</v>
      </c>
      <c r="C470" s="2" t="s">
        <v>67</v>
      </c>
      <c r="D470" s="3">
        <v>4122</v>
      </c>
      <c r="E470" s="4" t="s">
        <v>24</v>
      </c>
      <c r="F470" s="5">
        <v>0.41</v>
      </c>
      <c r="G470" s="4" t="s">
        <v>25</v>
      </c>
      <c r="H470" s="6">
        <f t="shared" si="7"/>
        <v>1690.02</v>
      </c>
    </row>
    <row r="471" spans="1:8" x14ac:dyDescent="0.2">
      <c r="A471" s="2" t="s">
        <v>529</v>
      </c>
      <c r="B471" s="2" t="s">
        <v>519</v>
      </c>
      <c r="C471" s="2" t="s">
        <v>67</v>
      </c>
      <c r="D471" s="3">
        <v>678</v>
      </c>
      <c r="E471" s="4" t="s">
        <v>24</v>
      </c>
      <c r="F471" s="5">
        <v>0.41</v>
      </c>
      <c r="G471" s="4" t="s">
        <v>25</v>
      </c>
      <c r="H471" s="6">
        <f t="shared" si="7"/>
        <v>277.97999999999996</v>
      </c>
    </row>
    <row r="472" spans="1:8" x14ac:dyDescent="0.2">
      <c r="A472" s="2" t="s">
        <v>530</v>
      </c>
      <c r="B472" s="2" t="s">
        <v>519</v>
      </c>
      <c r="C472" s="2" t="s">
        <v>33</v>
      </c>
      <c r="D472" s="3">
        <v>2620</v>
      </c>
      <c r="E472" s="4" t="s">
        <v>34</v>
      </c>
      <c r="F472" s="5">
        <v>5.83</v>
      </c>
      <c r="G472" s="4" t="s">
        <v>35</v>
      </c>
      <c r="H472" s="6">
        <f t="shared" si="7"/>
        <v>15274.6</v>
      </c>
    </row>
    <row r="473" spans="1:8" x14ac:dyDescent="0.2">
      <c r="A473" s="2" t="s">
        <v>531</v>
      </c>
      <c r="B473" s="2" t="s">
        <v>519</v>
      </c>
      <c r="C473" s="2" t="s">
        <v>57</v>
      </c>
      <c r="D473" s="3">
        <v>1206</v>
      </c>
      <c r="E473" s="4" t="s">
        <v>20</v>
      </c>
      <c r="F473" s="5">
        <v>0.66</v>
      </c>
      <c r="G473" s="4" t="s">
        <v>21</v>
      </c>
      <c r="H473" s="6">
        <f t="shared" si="7"/>
        <v>795.96</v>
      </c>
    </row>
    <row r="474" spans="1:8" x14ac:dyDescent="0.2">
      <c r="A474" s="2" t="s">
        <v>532</v>
      </c>
      <c r="B474" s="2" t="s">
        <v>519</v>
      </c>
      <c r="C474" s="2" t="s">
        <v>71</v>
      </c>
      <c r="D474" s="3">
        <v>3880</v>
      </c>
      <c r="E474" s="4" t="s">
        <v>72</v>
      </c>
      <c r="F474" s="5">
        <v>2817.64</v>
      </c>
      <c r="G474" s="4" t="s">
        <v>73</v>
      </c>
      <c r="H474" s="6">
        <f t="shared" si="7"/>
        <v>10932443.199999999</v>
      </c>
    </row>
    <row r="475" spans="1:8" x14ac:dyDescent="0.2">
      <c r="A475" s="2" t="s">
        <v>533</v>
      </c>
      <c r="B475" s="2" t="s">
        <v>519</v>
      </c>
      <c r="C475" s="2" t="s">
        <v>89</v>
      </c>
      <c r="D475" s="3">
        <v>3852</v>
      </c>
      <c r="E475" s="4" t="s">
        <v>30</v>
      </c>
      <c r="F475" s="5">
        <v>2.34</v>
      </c>
      <c r="G475" s="4" t="s">
        <v>31</v>
      </c>
      <c r="H475" s="6">
        <f t="shared" si="7"/>
        <v>9013.68</v>
      </c>
    </row>
    <row r="476" spans="1:8" x14ac:dyDescent="0.2">
      <c r="A476" s="2" t="s">
        <v>534</v>
      </c>
      <c r="B476" s="2" t="s">
        <v>519</v>
      </c>
      <c r="C476" s="2" t="s">
        <v>33</v>
      </c>
      <c r="D476" s="3">
        <v>659</v>
      </c>
      <c r="E476" s="4" t="s">
        <v>34</v>
      </c>
      <c r="F476" s="5">
        <v>3.55</v>
      </c>
      <c r="G476" s="4" t="s">
        <v>35</v>
      </c>
      <c r="H476" s="6">
        <f t="shared" si="7"/>
        <v>2339.4499999999998</v>
      </c>
    </row>
    <row r="477" spans="1:8" x14ac:dyDescent="0.2">
      <c r="A477" s="2" t="s">
        <v>535</v>
      </c>
      <c r="B477" s="2" t="s">
        <v>519</v>
      </c>
      <c r="C477" s="2" t="s">
        <v>44</v>
      </c>
      <c r="D477" s="3">
        <v>1234</v>
      </c>
      <c r="E477" s="4" t="s">
        <v>24</v>
      </c>
      <c r="F477" s="5">
        <v>1.28</v>
      </c>
      <c r="G477" s="4" t="s">
        <v>25</v>
      </c>
      <c r="H477" s="6">
        <f t="shared" si="7"/>
        <v>1579.52</v>
      </c>
    </row>
    <row r="478" spans="1:8" x14ac:dyDescent="0.2">
      <c r="A478" s="2" t="s">
        <v>536</v>
      </c>
      <c r="B478" s="2" t="s">
        <v>519</v>
      </c>
      <c r="C478" s="2" t="s">
        <v>147</v>
      </c>
      <c r="D478" s="3">
        <v>4333</v>
      </c>
      <c r="E478" s="4" t="s">
        <v>53</v>
      </c>
      <c r="F478" s="5">
        <v>11.39</v>
      </c>
      <c r="G478" s="4" t="s">
        <v>54</v>
      </c>
      <c r="H478" s="6">
        <f t="shared" si="7"/>
        <v>49352.87</v>
      </c>
    </row>
    <row r="479" spans="1:8" x14ac:dyDescent="0.2">
      <c r="A479" s="2" t="s">
        <v>537</v>
      </c>
      <c r="B479" s="2" t="s">
        <v>519</v>
      </c>
      <c r="C479" s="2" t="s">
        <v>71</v>
      </c>
      <c r="D479" s="3">
        <v>1956</v>
      </c>
      <c r="E479" s="4" t="s">
        <v>72</v>
      </c>
      <c r="F479" s="5">
        <v>2580.69</v>
      </c>
      <c r="G479" s="4" t="s">
        <v>73</v>
      </c>
      <c r="H479" s="6">
        <f t="shared" si="7"/>
        <v>5047829.6399999997</v>
      </c>
    </row>
    <row r="480" spans="1:8" x14ac:dyDescent="0.2">
      <c r="A480" s="2" t="s">
        <v>538</v>
      </c>
      <c r="B480" s="2" t="s">
        <v>519</v>
      </c>
      <c r="C480" s="2" t="s">
        <v>37</v>
      </c>
      <c r="D480" s="3">
        <v>1963</v>
      </c>
      <c r="E480" s="4" t="s">
        <v>38</v>
      </c>
      <c r="F480" s="5">
        <v>3.26</v>
      </c>
      <c r="G480" s="4" t="s">
        <v>39</v>
      </c>
      <c r="H480" s="6">
        <f t="shared" si="7"/>
        <v>6399.3799999999992</v>
      </c>
    </row>
    <row r="481" spans="1:8" x14ac:dyDescent="0.2">
      <c r="A481" s="2" t="s">
        <v>539</v>
      </c>
      <c r="B481" s="2" t="s">
        <v>519</v>
      </c>
      <c r="C481" s="2" t="s">
        <v>147</v>
      </c>
      <c r="D481" s="3">
        <v>3754</v>
      </c>
      <c r="E481" s="4" t="s">
        <v>53</v>
      </c>
      <c r="F481" s="5">
        <v>8.5</v>
      </c>
      <c r="G481" s="4" t="s">
        <v>54</v>
      </c>
      <c r="H481" s="6">
        <f t="shared" si="7"/>
        <v>31909</v>
      </c>
    </row>
    <row r="482" spans="1:8" x14ac:dyDescent="0.2">
      <c r="A482" s="2" t="s">
        <v>540</v>
      </c>
      <c r="B482" s="2" t="s">
        <v>519</v>
      </c>
      <c r="C482" s="2" t="s">
        <v>48</v>
      </c>
      <c r="D482" s="3">
        <v>4898</v>
      </c>
      <c r="E482" s="4" t="s">
        <v>24</v>
      </c>
      <c r="F482" s="5">
        <v>0.13</v>
      </c>
      <c r="G482" s="4" t="s">
        <v>25</v>
      </c>
      <c r="H482" s="6">
        <f t="shared" si="7"/>
        <v>636.74</v>
      </c>
    </row>
    <row r="483" spans="1:8" x14ac:dyDescent="0.2">
      <c r="A483" s="2" t="s">
        <v>541</v>
      </c>
      <c r="B483" s="2" t="s">
        <v>519</v>
      </c>
      <c r="C483" s="2" t="s">
        <v>78</v>
      </c>
      <c r="D483" s="3">
        <v>4720</v>
      </c>
      <c r="E483" s="4" t="s">
        <v>38</v>
      </c>
      <c r="F483" s="5">
        <v>1.91</v>
      </c>
      <c r="G483" s="4" t="s">
        <v>39</v>
      </c>
      <c r="H483" s="6">
        <f t="shared" si="7"/>
        <v>9015.1999999999989</v>
      </c>
    </row>
    <row r="484" spans="1:8" x14ac:dyDescent="0.2">
      <c r="A484" s="2" t="s">
        <v>542</v>
      </c>
      <c r="B484" s="2" t="s">
        <v>519</v>
      </c>
      <c r="C484" s="2" t="s">
        <v>89</v>
      </c>
      <c r="D484" s="3">
        <v>2396</v>
      </c>
      <c r="E484" s="4" t="s">
        <v>30</v>
      </c>
      <c r="F484" s="5">
        <v>2.3199999999999998</v>
      </c>
      <c r="G484" s="4" t="s">
        <v>31</v>
      </c>
      <c r="H484" s="6">
        <f t="shared" si="7"/>
        <v>5558.7199999999993</v>
      </c>
    </row>
    <row r="485" spans="1:8" x14ac:dyDescent="0.2">
      <c r="A485" s="2" t="s">
        <v>543</v>
      </c>
      <c r="B485" s="2" t="s">
        <v>519</v>
      </c>
      <c r="C485" s="2" t="s">
        <v>147</v>
      </c>
      <c r="D485" s="3">
        <v>2900</v>
      </c>
      <c r="E485" s="4" t="s">
        <v>53</v>
      </c>
      <c r="F485" s="5">
        <v>9.92</v>
      </c>
      <c r="G485" s="4" t="s">
        <v>54</v>
      </c>
      <c r="H485" s="6">
        <f t="shared" si="7"/>
        <v>28768</v>
      </c>
    </row>
    <row r="486" spans="1:8" x14ac:dyDescent="0.2">
      <c r="A486" s="2" t="s">
        <v>544</v>
      </c>
      <c r="B486" s="2" t="s">
        <v>519</v>
      </c>
      <c r="C486" s="2" t="s">
        <v>52</v>
      </c>
      <c r="D486" s="3">
        <v>1544</v>
      </c>
      <c r="E486" s="4" t="s">
        <v>53</v>
      </c>
      <c r="F486" s="5">
        <v>12.32</v>
      </c>
      <c r="G486" s="4" t="s">
        <v>54</v>
      </c>
      <c r="H486" s="6">
        <f t="shared" si="7"/>
        <v>19022.080000000002</v>
      </c>
    </row>
    <row r="487" spans="1:8" x14ac:dyDescent="0.2">
      <c r="A487" s="2" t="s">
        <v>545</v>
      </c>
      <c r="B487" s="2" t="s">
        <v>519</v>
      </c>
      <c r="C487" s="2" t="s">
        <v>27</v>
      </c>
      <c r="D487" s="3">
        <v>4298</v>
      </c>
      <c r="E487" s="4" t="s">
        <v>20</v>
      </c>
      <c r="F487" s="5">
        <v>2.37</v>
      </c>
      <c r="G487" s="4" t="s">
        <v>21</v>
      </c>
      <c r="H487" s="6">
        <f t="shared" si="7"/>
        <v>10186.26</v>
      </c>
    </row>
    <row r="488" spans="1:8" x14ac:dyDescent="0.2">
      <c r="A488" s="2" t="s">
        <v>546</v>
      </c>
      <c r="B488" s="2" t="s">
        <v>519</v>
      </c>
      <c r="C488" s="2" t="s">
        <v>27</v>
      </c>
      <c r="D488" s="3">
        <v>4319</v>
      </c>
      <c r="E488" s="4" t="s">
        <v>20</v>
      </c>
      <c r="F488" s="5">
        <v>1.85</v>
      </c>
      <c r="G488" s="4" t="s">
        <v>21</v>
      </c>
      <c r="H488" s="6">
        <f t="shared" si="7"/>
        <v>7990.1500000000005</v>
      </c>
    </row>
    <row r="489" spans="1:8" x14ac:dyDescent="0.2">
      <c r="A489" s="2" t="s">
        <v>547</v>
      </c>
      <c r="B489" s="2" t="s">
        <v>519</v>
      </c>
      <c r="C489" s="2" t="s">
        <v>78</v>
      </c>
      <c r="D489" s="3">
        <v>4549</v>
      </c>
      <c r="E489" s="4" t="s">
        <v>38</v>
      </c>
      <c r="F489" s="5">
        <v>1.53</v>
      </c>
      <c r="G489" s="4" t="s">
        <v>39</v>
      </c>
      <c r="H489" s="6">
        <f t="shared" si="7"/>
        <v>6959.97</v>
      </c>
    </row>
    <row r="490" spans="1:8" x14ac:dyDescent="0.2">
      <c r="A490" s="2" t="s">
        <v>548</v>
      </c>
      <c r="B490" s="2" t="s">
        <v>519</v>
      </c>
      <c r="C490" s="2" t="s">
        <v>48</v>
      </c>
      <c r="D490" s="3">
        <v>366</v>
      </c>
      <c r="E490" s="4" t="s">
        <v>24</v>
      </c>
      <c r="F490" s="5">
        <v>0.15</v>
      </c>
      <c r="G490" s="4" t="s">
        <v>25</v>
      </c>
      <c r="H490" s="6">
        <f t="shared" si="7"/>
        <v>54.9</v>
      </c>
    </row>
    <row r="491" spans="1:8" x14ac:dyDescent="0.2">
      <c r="A491" s="2" t="s">
        <v>549</v>
      </c>
      <c r="B491" s="2" t="s">
        <v>519</v>
      </c>
      <c r="C491" s="2" t="s">
        <v>19</v>
      </c>
      <c r="D491" s="3">
        <v>2087</v>
      </c>
      <c r="E491" s="4" t="s">
        <v>20</v>
      </c>
      <c r="F491" s="5">
        <v>1.55</v>
      </c>
      <c r="G491" s="4" t="s">
        <v>21</v>
      </c>
      <c r="H491" s="6">
        <f t="shared" si="7"/>
        <v>3234.85</v>
      </c>
    </row>
    <row r="492" spans="1:8" x14ac:dyDescent="0.2">
      <c r="A492" s="2" t="s">
        <v>550</v>
      </c>
      <c r="B492" s="2" t="s">
        <v>519</v>
      </c>
      <c r="C492" s="2" t="s">
        <v>19</v>
      </c>
      <c r="D492" s="3">
        <v>563</v>
      </c>
      <c r="E492" s="4" t="s">
        <v>20</v>
      </c>
      <c r="F492" s="5">
        <v>1.31</v>
      </c>
      <c r="G492" s="4" t="s">
        <v>21</v>
      </c>
      <c r="H492" s="6">
        <f t="shared" si="7"/>
        <v>737.53000000000009</v>
      </c>
    </row>
    <row r="493" spans="1:8" x14ac:dyDescent="0.2">
      <c r="A493" s="2" t="s">
        <v>551</v>
      </c>
      <c r="B493" s="2" t="s">
        <v>519</v>
      </c>
      <c r="C493" s="2" t="s">
        <v>50</v>
      </c>
      <c r="D493" s="3">
        <v>4776</v>
      </c>
      <c r="E493" s="4" t="s">
        <v>20</v>
      </c>
      <c r="F493" s="5">
        <v>1.1399999999999999</v>
      </c>
      <c r="G493" s="4" t="s">
        <v>21</v>
      </c>
      <c r="H493" s="6">
        <f t="shared" si="7"/>
        <v>5444.6399999999994</v>
      </c>
    </row>
    <row r="494" spans="1:8" x14ac:dyDescent="0.2">
      <c r="A494" s="2" t="s">
        <v>552</v>
      </c>
      <c r="B494" s="2" t="s">
        <v>519</v>
      </c>
      <c r="C494" s="2" t="s">
        <v>57</v>
      </c>
      <c r="D494" s="3">
        <v>1102</v>
      </c>
      <c r="E494" s="4" t="s">
        <v>20</v>
      </c>
      <c r="F494" s="5">
        <v>0.62</v>
      </c>
      <c r="G494" s="4" t="s">
        <v>21</v>
      </c>
      <c r="H494" s="6">
        <f t="shared" si="7"/>
        <v>683.24</v>
      </c>
    </row>
    <row r="495" spans="1:8" x14ac:dyDescent="0.2">
      <c r="A495" s="2" t="s">
        <v>553</v>
      </c>
      <c r="B495" s="2" t="s">
        <v>519</v>
      </c>
      <c r="C495" s="2" t="s">
        <v>29</v>
      </c>
      <c r="D495" s="3">
        <v>2783</v>
      </c>
      <c r="E495" s="4" t="s">
        <v>30</v>
      </c>
      <c r="F495" s="5">
        <v>1.98</v>
      </c>
      <c r="G495" s="4" t="s">
        <v>31</v>
      </c>
      <c r="H495" s="6">
        <f t="shared" si="7"/>
        <v>5510.34</v>
      </c>
    </row>
    <row r="496" spans="1:8" x14ac:dyDescent="0.2">
      <c r="A496" s="2" t="s">
        <v>554</v>
      </c>
      <c r="B496" s="2" t="s">
        <v>519</v>
      </c>
      <c r="C496" s="2" t="s">
        <v>118</v>
      </c>
      <c r="D496" s="3">
        <v>3816</v>
      </c>
      <c r="E496" s="4" t="s">
        <v>24</v>
      </c>
      <c r="F496" s="5">
        <v>1.0900000000000001</v>
      </c>
      <c r="G496" s="4" t="s">
        <v>25</v>
      </c>
      <c r="H496" s="6">
        <f t="shared" si="7"/>
        <v>4159.4400000000005</v>
      </c>
    </row>
    <row r="497" spans="1:8" x14ac:dyDescent="0.2">
      <c r="A497" s="2" t="s">
        <v>555</v>
      </c>
      <c r="B497" s="2" t="s">
        <v>519</v>
      </c>
      <c r="C497" s="2" t="s">
        <v>48</v>
      </c>
      <c r="D497" s="3">
        <v>1503</v>
      </c>
      <c r="E497" s="4" t="s">
        <v>24</v>
      </c>
      <c r="F497" s="5">
        <v>0.17</v>
      </c>
      <c r="G497" s="4" t="s">
        <v>25</v>
      </c>
      <c r="H497" s="6">
        <f t="shared" si="7"/>
        <v>255.51000000000002</v>
      </c>
    </row>
    <row r="498" spans="1:8" x14ac:dyDescent="0.2">
      <c r="A498" s="2" t="s">
        <v>556</v>
      </c>
      <c r="B498" s="2" t="s">
        <v>519</v>
      </c>
      <c r="C498" s="2" t="s">
        <v>27</v>
      </c>
      <c r="D498" s="3">
        <v>3759</v>
      </c>
      <c r="E498" s="4" t="s">
        <v>20</v>
      </c>
      <c r="F498" s="5">
        <v>1.24</v>
      </c>
      <c r="G498" s="4" t="s">
        <v>21</v>
      </c>
      <c r="H498" s="6">
        <f t="shared" si="7"/>
        <v>4661.16</v>
      </c>
    </row>
    <row r="499" spans="1:8" x14ac:dyDescent="0.2">
      <c r="A499" s="2" t="s">
        <v>557</v>
      </c>
      <c r="B499" s="2" t="s">
        <v>519</v>
      </c>
      <c r="C499" s="2" t="s">
        <v>44</v>
      </c>
      <c r="D499" s="3">
        <v>368</v>
      </c>
      <c r="E499" s="4" t="s">
        <v>24</v>
      </c>
      <c r="F499" s="5">
        <v>1.45</v>
      </c>
      <c r="G499" s="4" t="s">
        <v>25</v>
      </c>
      <c r="H499" s="6">
        <f t="shared" si="7"/>
        <v>533.6</v>
      </c>
    </row>
    <row r="500" spans="1:8" x14ac:dyDescent="0.2">
      <c r="A500" s="2" t="s">
        <v>558</v>
      </c>
      <c r="B500" s="2" t="s">
        <v>519</v>
      </c>
      <c r="C500" s="2" t="s">
        <v>37</v>
      </c>
      <c r="D500" s="3">
        <v>2595</v>
      </c>
      <c r="E500" s="4" t="s">
        <v>38</v>
      </c>
      <c r="F500" s="5">
        <v>4.8</v>
      </c>
      <c r="G500" s="4" t="s">
        <v>39</v>
      </c>
      <c r="H500" s="6">
        <f t="shared" si="7"/>
        <v>12456</v>
      </c>
    </row>
    <row r="501" spans="1:8" x14ac:dyDescent="0.2">
      <c r="A501" s="2" t="s">
        <v>559</v>
      </c>
      <c r="B501" s="2" t="s">
        <v>519</v>
      </c>
      <c r="C501" s="2" t="s">
        <v>78</v>
      </c>
      <c r="D501" s="3">
        <v>3272</v>
      </c>
      <c r="E501" s="4" t="s">
        <v>38</v>
      </c>
      <c r="F501" s="5">
        <v>3.18</v>
      </c>
      <c r="G501" s="4" t="s">
        <v>39</v>
      </c>
      <c r="H501" s="6">
        <f t="shared" si="7"/>
        <v>10404.960000000001</v>
      </c>
    </row>
    <row r="502" spans="1:8" x14ac:dyDescent="0.2">
      <c r="A502" s="2" t="s">
        <v>560</v>
      </c>
      <c r="B502" s="2" t="s">
        <v>519</v>
      </c>
      <c r="C502" s="2" t="s">
        <v>29</v>
      </c>
      <c r="D502" s="3">
        <v>3888</v>
      </c>
      <c r="E502" s="4" t="s">
        <v>30</v>
      </c>
      <c r="F502" s="5">
        <v>1.3</v>
      </c>
      <c r="G502" s="4" t="s">
        <v>31</v>
      </c>
      <c r="H502" s="6">
        <f t="shared" si="7"/>
        <v>5054.4000000000005</v>
      </c>
    </row>
    <row r="503" spans="1:8" x14ac:dyDescent="0.2">
      <c r="A503" s="2" t="s">
        <v>561</v>
      </c>
      <c r="B503" s="2" t="s">
        <v>519</v>
      </c>
      <c r="C503" s="2" t="s">
        <v>44</v>
      </c>
      <c r="D503" s="3">
        <v>2353</v>
      </c>
      <c r="E503" s="4" t="s">
        <v>24</v>
      </c>
      <c r="F503" s="5">
        <v>1.1499999999999999</v>
      </c>
      <c r="G503" s="4" t="s">
        <v>25</v>
      </c>
      <c r="H503" s="6">
        <f t="shared" si="7"/>
        <v>2705.95</v>
      </c>
    </row>
    <row r="504" spans="1:8" x14ac:dyDescent="0.2">
      <c r="A504" s="2" t="s">
        <v>562</v>
      </c>
      <c r="B504" s="2" t="s">
        <v>519</v>
      </c>
      <c r="C504" s="2" t="s">
        <v>37</v>
      </c>
      <c r="D504" s="3">
        <v>2729</v>
      </c>
      <c r="E504" s="4" t="s">
        <v>38</v>
      </c>
      <c r="F504" s="5">
        <v>2.82</v>
      </c>
      <c r="G504" s="4" t="s">
        <v>39</v>
      </c>
      <c r="H504" s="6">
        <f t="shared" si="7"/>
        <v>7695.78</v>
      </c>
    </row>
    <row r="505" spans="1:8" x14ac:dyDescent="0.2">
      <c r="A505" s="2" t="s">
        <v>563</v>
      </c>
      <c r="B505" s="2" t="s">
        <v>519</v>
      </c>
      <c r="C505" s="2" t="s">
        <v>19</v>
      </c>
      <c r="D505" s="3">
        <v>3589</v>
      </c>
      <c r="E505" s="4" t="s">
        <v>20</v>
      </c>
      <c r="F505" s="5">
        <v>1.63</v>
      </c>
      <c r="G505" s="4" t="s">
        <v>21</v>
      </c>
      <c r="H505" s="6">
        <f t="shared" si="7"/>
        <v>5850.07</v>
      </c>
    </row>
    <row r="506" spans="1:8" x14ac:dyDescent="0.2">
      <c r="A506" s="2" t="s">
        <v>564</v>
      </c>
      <c r="B506" s="2" t="s">
        <v>519</v>
      </c>
      <c r="C506" s="2" t="s">
        <v>23</v>
      </c>
      <c r="D506" s="3">
        <v>3177</v>
      </c>
      <c r="E506" s="4" t="s">
        <v>24</v>
      </c>
      <c r="F506" s="5">
        <v>14.03</v>
      </c>
      <c r="G506" s="4" t="s">
        <v>25</v>
      </c>
      <c r="H506" s="6">
        <f t="shared" si="7"/>
        <v>44573.31</v>
      </c>
    </row>
    <row r="507" spans="1:8" x14ac:dyDescent="0.2">
      <c r="A507" s="2" t="s">
        <v>565</v>
      </c>
      <c r="B507" s="2" t="s">
        <v>519</v>
      </c>
      <c r="C507" s="2" t="s">
        <v>118</v>
      </c>
      <c r="D507" s="3">
        <v>4074</v>
      </c>
      <c r="E507" s="4" t="s">
        <v>24</v>
      </c>
      <c r="F507" s="5">
        <v>0.88</v>
      </c>
      <c r="G507" s="4" t="s">
        <v>25</v>
      </c>
      <c r="H507" s="6">
        <f t="shared" si="7"/>
        <v>3585.12</v>
      </c>
    </row>
    <row r="508" spans="1:8" x14ac:dyDescent="0.2">
      <c r="A508" s="2" t="s">
        <v>566</v>
      </c>
      <c r="B508" s="2" t="s">
        <v>519</v>
      </c>
      <c r="C508" s="2" t="s">
        <v>19</v>
      </c>
      <c r="D508" s="3">
        <v>4263</v>
      </c>
      <c r="E508" s="4" t="s">
        <v>20</v>
      </c>
      <c r="F508" s="5">
        <v>1.26</v>
      </c>
      <c r="G508" s="4" t="s">
        <v>21</v>
      </c>
      <c r="H508" s="6">
        <f t="shared" si="7"/>
        <v>5371.38</v>
      </c>
    </row>
    <row r="509" spans="1:8" x14ac:dyDescent="0.2">
      <c r="A509" s="2" t="s">
        <v>567</v>
      </c>
      <c r="B509" s="2" t="s">
        <v>519</v>
      </c>
      <c r="C509" s="2" t="s">
        <v>27</v>
      </c>
      <c r="D509" s="3">
        <v>3487</v>
      </c>
      <c r="E509" s="4" t="s">
        <v>20</v>
      </c>
      <c r="F509" s="5">
        <v>1.29</v>
      </c>
      <c r="G509" s="4" t="s">
        <v>21</v>
      </c>
      <c r="H509" s="6">
        <f t="shared" si="7"/>
        <v>4498.2300000000005</v>
      </c>
    </row>
    <row r="510" spans="1:8" x14ac:dyDescent="0.2">
      <c r="A510" s="2" t="s">
        <v>568</v>
      </c>
      <c r="B510" s="2" t="s">
        <v>519</v>
      </c>
      <c r="C510" s="2" t="s">
        <v>147</v>
      </c>
      <c r="D510" s="3">
        <v>1488</v>
      </c>
      <c r="E510" s="4" t="s">
        <v>53</v>
      </c>
      <c r="F510" s="5">
        <v>12.36</v>
      </c>
      <c r="G510" s="4" t="s">
        <v>54</v>
      </c>
      <c r="H510" s="6">
        <f t="shared" si="7"/>
        <v>18391.68</v>
      </c>
    </row>
    <row r="511" spans="1:8" x14ac:dyDescent="0.2">
      <c r="A511" s="2" t="s">
        <v>569</v>
      </c>
      <c r="B511" s="2" t="s">
        <v>519</v>
      </c>
      <c r="C511" s="2" t="s">
        <v>57</v>
      </c>
      <c r="D511" s="3">
        <v>850</v>
      </c>
      <c r="E511" s="4" t="s">
        <v>20</v>
      </c>
      <c r="F511" s="5">
        <v>0.63</v>
      </c>
      <c r="G511" s="4" t="s">
        <v>21</v>
      </c>
      <c r="H511" s="6">
        <f t="shared" si="7"/>
        <v>535.5</v>
      </c>
    </row>
    <row r="512" spans="1:8" x14ac:dyDescent="0.2">
      <c r="A512" s="2" t="s">
        <v>570</v>
      </c>
      <c r="B512" s="2" t="s">
        <v>519</v>
      </c>
      <c r="C512" s="2" t="s">
        <v>71</v>
      </c>
      <c r="D512" s="3">
        <v>2520</v>
      </c>
      <c r="E512" s="4" t="s">
        <v>72</v>
      </c>
      <c r="F512" s="5">
        <v>2667.55</v>
      </c>
      <c r="G512" s="4" t="s">
        <v>73</v>
      </c>
      <c r="H512" s="6">
        <f t="shared" si="7"/>
        <v>6722226</v>
      </c>
    </row>
    <row r="513" spans="1:8" x14ac:dyDescent="0.2">
      <c r="A513" s="2" t="s">
        <v>571</v>
      </c>
      <c r="B513" s="2" t="s">
        <v>519</v>
      </c>
      <c r="C513" s="2" t="s">
        <v>52</v>
      </c>
      <c r="D513" s="3">
        <v>1375</v>
      </c>
      <c r="E513" s="4" t="s">
        <v>53</v>
      </c>
      <c r="F513" s="5">
        <v>12.45</v>
      </c>
      <c r="G513" s="4" t="s">
        <v>54</v>
      </c>
      <c r="H513" s="6">
        <f t="shared" si="7"/>
        <v>17118.75</v>
      </c>
    </row>
    <row r="514" spans="1:8" x14ac:dyDescent="0.2">
      <c r="A514" s="2" t="s">
        <v>572</v>
      </c>
      <c r="B514" s="2" t="s">
        <v>573</v>
      </c>
      <c r="C514" s="2" t="s">
        <v>19</v>
      </c>
      <c r="D514" s="3">
        <v>3672</v>
      </c>
      <c r="E514" s="4" t="s">
        <v>20</v>
      </c>
      <c r="F514" s="5">
        <v>1.1299999999999999</v>
      </c>
      <c r="G514" s="4" t="s">
        <v>21</v>
      </c>
      <c r="H514" s="6">
        <f t="shared" ref="H514:H577" si="8">D514*F514</f>
        <v>4149.3599999999997</v>
      </c>
    </row>
    <row r="515" spans="1:8" x14ac:dyDescent="0.2">
      <c r="A515" s="2" t="s">
        <v>574</v>
      </c>
      <c r="B515" s="2" t="s">
        <v>573</v>
      </c>
      <c r="C515" s="2" t="s">
        <v>19</v>
      </c>
      <c r="D515" s="3">
        <v>3573</v>
      </c>
      <c r="E515" s="4" t="s">
        <v>20</v>
      </c>
      <c r="F515" s="5">
        <v>1.26</v>
      </c>
      <c r="G515" s="4" t="s">
        <v>21</v>
      </c>
      <c r="H515" s="6">
        <f t="shared" si="8"/>
        <v>4501.9800000000005</v>
      </c>
    </row>
    <row r="516" spans="1:8" x14ac:dyDescent="0.2">
      <c r="A516" s="2" t="s">
        <v>575</v>
      </c>
      <c r="B516" s="2" t="s">
        <v>573</v>
      </c>
      <c r="C516" s="2" t="s">
        <v>37</v>
      </c>
      <c r="D516" s="3">
        <v>624</v>
      </c>
      <c r="E516" s="4" t="s">
        <v>38</v>
      </c>
      <c r="F516" s="5">
        <v>4.01</v>
      </c>
      <c r="G516" s="4" t="s">
        <v>39</v>
      </c>
      <c r="H516" s="6">
        <f t="shared" si="8"/>
        <v>2502.2399999999998</v>
      </c>
    </row>
    <row r="517" spans="1:8" x14ac:dyDescent="0.2">
      <c r="A517" s="2" t="s">
        <v>576</v>
      </c>
      <c r="B517" s="2" t="s">
        <v>573</v>
      </c>
      <c r="C517" s="2" t="s">
        <v>67</v>
      </c>
      <c r="D517" s="3">
        <v>2986</v>
      </c>
      <c r="E517" s="4" t="s">
        <v>24</v>
      </c>
      <c r="F517" s="5">
        <v>0.45</v>
      </c>
      <c r="G517" s="4" t="s">
        <v>25</v>
      </c>
      <c r="H517" s="6">
        <f t="shared" si="8"/>
        <v>1343.7</v>
      </c>
    </row>
    <row r="518" spans="1:8" x14ac:dyDescent="0.2">
      <c r="A518" s="2" t="s">
        <v>577</v>
      </c>
      <c r="B518" s="2" t="s">
        <v>573</v>
      </c>
      <c r="C518" s="2" t="s">
        <v>118</v>
      </c>
      <c r="D518" s="3">
        <v>265</v>
      </c>
      <c r="E518" s="4" t="s">
        <v>24</v>
      </c>
      <c r="F518" s="5">
        <v>0.5</v>
      </c>
      <c r="G518" s="4" t="s">
        <v>25</v>
      </c>
      <c r="H518" s="6">
        <f t="shared" si="8"/>
        <v>132.5</v>
      </c>
    </row>
    <row r="519" spans="1:8" x14ac:dyDescent="0.2">
      <c r="A519" s="2" t="s">
        <v>578</v>
      </c>
      <c r="B519" s="2" t="s">
        <v>573</v>
      </c>
      <c r="C519" s="2" t="s">
        <v>147</v>
      </c>
      <c r="D519" s="3">
        <v>3599</v>
      </c>
      <c r="E519" s="4" t="s">
        <v>53</v>
      </c>
      <c r="F519" s="5">
        <v>8.2799999999999994</v>
      </c>
      <c r="G519" s="4" t="s">
        <v>54</v>
      </c>
      <c r="H519" s="6">
        <f t="shared" si="8"/>
        <v>29799.719999999998</v>
      </c>
    </row>
    <row r="520" spans="1:8" x14ac:dyDescent="0.2">
      <c r="A520" s="2" t="s">
        <v>579</v>
      </c>
      <c r="B520" s="2" t="s">
        <v>573</v>
      </c>
      <c r="C520" s="2" t="s">
        <v>27</v>
      </c>
      <c r="D520" s="3">
        <v>1943</v>
      </c>
      <c r="E520" s="4" t="s">
        <v>20</v>
      </c>
      <c r="F520" s="5">
        <v>2.13</v>
      </c>
      <c r="G520" s="4" t="s">
        <v>21</v>
      </c>
      <c r="H520" s="6">
        <f t="shared" si="8"/>
        <v>4138.59</v>
      </c>
    </row>
    <row r="521" spans="1:8" x14ac:dyDescent="0.2">
      <c r="A521" s="2" t="s">
        <v>580</v>
      </c>
      <c r="B521" s="2" t="s">
        <v>573</v>
      </c>
      <c r="C521" s="2" t="s">
        <v>19</v>
      </c>
      <c r="D521" s="3">
        <v>2976</v>
      </c>
      <c r="E521" s="4" t="s">
        <v>20</v>
      </c>
      <c r="F521" s="5">
        <v>1.33</v>
      </c>
      <c r="G521" s="4" t="s">
        <v>21</v>
      </c>
      <c r="H521" s="6">
        <f t="shared" si="8"/>
        <v>3958.0800000000004</v>
      </c>
    </row>
    <row r="522" spans="1:8" x14ac:dyDescent="0.2">
      <c r="A522" s="2" t="s">
        <v>581</v>
      </c>
      <c r="B522" s="2" t="s">
        <v>573</v>
      </c>
      <c r="C522" s="2" t="s">
        <v>46</v>
      </c>
      <c r="D522" s="3">
        <v>275</v>
      </c>
      <c r="E522" s="4" t="s">
        <v>20</v>
      </c>
      <c r="F522" s="5">
        <v>3.21</v>
      </c>
      <c r="G522" s="4" t="s">
        <v>21</v>
      </c>
      <c r="H522" s="6">
        <f t="shared" si="8"/>
        <v>882.75</v>
      </c>
    </row>
    <row r="523" spans="1:8" x14ac:dyDescent="0.2">
      <c r="A523" s="2" t="s">
        <v>582</v>
      </c>
      <c r="B523" s="2" t="s">
        <v>573</v>
      </c>
      <c r="C523" s="2" t="s">
        <v>23</v>
      </c>
      <c r="D523" s="3">
        <v>3048</v>
      </c>
      <c r="E523" s="4" t="s">
        <v>24</v>
      </c>
      <c r="F523" s="5">
        <v>14.23</v>
      </c>
      <c r="G523" s="4" t="s">
        <v>25</v>
      </c>
      <c r="H523" s="6">
        <f t="shared" si="8"/>
        <v>43373.04</v>
      </c>
    </row>
    <row r="524" spans="1:8" x14ac:dyDescent="0.2">
      <c r="A524" s="2" t="s">
        <v>583</v>
      </c>
      <c r="B524" s="2" t="s">
        <v>573</v>
      </c>
      <c r="C524" s="2" t="s">
        <v>27</v>
      </c>
      <c r="D524" s="3">
        <v>4711</v>
      </c>
      <c r="E524" s="4" t="s">
        <v>20</v>
      </c>
      <c r="F524" s="5">
        <v>1.37</v>
      </c>
      <c r="G524" s="4" t="s">
        <v>21</v>
      </c>
      <c r="H524" s="6">
        <f t="shared" si="8"/>
        <v>6454.0700000000006</v>
      </c>
    </row>
    <row r="525" spans="1:8" x14ac:dyDescent="0.2">
      <c r="A525" s="2" t="s">
        <v>584</v>
      </c>
      <c r="B525" s="2" t="s">
        <v>573</v>
      </c>
      <c r="C525" s="2" t="s">
        <v>19</v>
      </c>
      <c r="D525" s="3">
        <v>3270</v>
      </c>
      <c r="E525" s="4" t="s">
        <v>20</v>
      </c>
      <c r="F525" s="5">
        <v>1.29</v>
      </c>
      <c r="G525" s="4" t="s">
        <v>21</v>
      </c>
      <c r="H525" s="6">
        <f t="shared" si="8"/>
        <v>4218.3</v>
      </c>
    </row>
    <row r="526" spans="1:8" x14ac:dyDescent="0.2">
      <c r="A526" s="2" t="s">
        <v>585</v>
      </c>
      <c r="B526" s="2" t="s">
        <v>573</v>
      </c>
      <c r="C526" s="2" t="s">
        <v>86</v>
      </c>
      <c r="D526" s="3">
        <v>2054</v>
      </c>
      <c r="E526" s="4" t="s">
        <v>72</v>
      </c>
      <c r="F526" s="5">
        <v>9144.73</v>
      </c>
      <c r="G526" s="4" t="s">
        <v>73</v>
      </c>
      <c r="H526" s="6">
        <f t="shared" si="8"/>
        <v>18783275.419999998</v>
      </c>
    </row>
    <row r="527" spans="1:8" x14ac:dyDescent="0.2">
      <c r="A527" s="2" t="s">
        <v>586</v>
      </c>
      <c r="B527" s="2" t="s">
        <v>573</v>
      </c>
      <c r="C527" s="2" t="s">
        <v>33</v>
      </c>
      <c r="D527" s="3">
        <v>1534</v>
      </c>
      <c r="E527" s="4" t="s">
        <v>34</v>
      </c>
      <c r="F527" s="5">
        <v>4.75</v>
      </c>
      <c r="G527" s="4" t="s">
        <v>35</v>
      </c>
      <c r="H527" s="6">
        <f t="shared" si="8"/>
        <v>7286.5</v>
      </c>
    </row>
    <row r="528" spans="1:8" x14ac:dyDescent="0.2">
      <c r="A528" s="2" t="s">
        <v>587</v>
      </c>
      <c r="B528" s="2" t="s">
        <v>573</v>
      </c>
      <c r="C528" s="2" t="s">
        <v>67</v>
      </c>
      <c r="D528" s="3">
        <v>4611</v>
      </c>
      <c r="E528" s="4" t="s">
        <v>24</v>
      </c>
      <c r="F528" s="5">
        <v>0.34</v>
      </c>
      <c r="G528" s="4" t="s">
        <v>25</v>
      </c>
      <c r="H528" s="6">
        <f t="shared" si="8"/>
        <v>1567.74</v>
      </c>
    </row>
    <row r="529" spans="1:8" x14ac:dyDescent="0.2">
      <c r="A529" s="2" t="s">
        <v>588</v>
      </c>
      <c r="B529" s="2" t="s">
        <v>573</v>
      </c>
      <c r="C529" s="2" t="s">
        <v>86</v>
      </c>
      <c r="D529" s="3">
        <v>3665</v>
      </c>
      <c r="E529" s="4" t="s">
        <v>72</v>
      </c>
      <c r="F529" s="5">
        <v>8100.4</v>
      </c>
      <c r="G529" s="4" t="s">
        <v>73</v>
      </c>
      <c r="H529" s="6">
        <f t="shared" si="8"/>
        <v>29687966</v>
      </c>
    </row>
    <row r="530" spans="1:8" x14ac:dyDescent="0.2">
      <c r="A530" s="2" t="s">
        <v>589</v>
      </c>
      <c r="B530" s="2" t="s">
        <v>573</v>
      </c>
      <c r="C530" s="2" t="s">
        <v>147</v>
      </c>
      <c r="D530" s="3">
        <v>2349</v>
      </c>
      <c r="E530" s="4" t="s">
        <v>53</v>
      </c>
      <c r="F530" s="5">
        <v>13.55</v>
      </c>
      <c r="G530" s="4" t="s">
        <v>54</v>
      </c>
      <c r="H530" s="6">
        <f t="shared" si="8"/>
        <v>31828.95</v>
      </c>
    </row>
    <row r="531" spans="1:8" x14ac:dyDescent="0.2">
      <c r="A531" s="2" t="s">
        <v>590</v>
      </c>
      <c r="B531" s="2" t="s">
        <v>573</v>
      </c>
      <c r="C531" s="2" t="s">
        <v>48</v>
      </c>
      <c r="D531" s="3">
        <v>1649</v>
      </c>
      <c r="E531" s="4" t="s">
        <v>24</v>
      </c>
      <c r="F531" s="5">
        <v>7.0000000000000007E-2</v>
      </c>
      <c r="G531" s="4" t="s">
        <v>25</v>
      </c>
      <c r="H531" s="6">
        <f t="shared" si="8"/>
        <v>115.43</v>
      </c>
    </row>
    <row r="532" spans="1:8" x14ac:dyDescent="0.2">
      <c r="A532" s="2" t="s">
        <v>591</v>
      </c>
      <c r="B532" s="2" t="s">
        <v>573</v>
      </c>
      <c r="C532" s="2" t="s">
        <v>27</v>
      </c>
      <c r="D532" s="3">
        <v>3713</v>
      </c>
      <c r="E532" s="4" t="s">
        <v>20</v>
      </c>
      <c r="F532" s="5">
        <v>1.41</v>
      </c>
      <c r="G532" s="4" t="s">
        <v>21</v>
      </c>
      <c r="H532" s="6">
        <f t="shared" si="8"/>
        <v>5235.33</v>
      </c>
    </row>
    <row r="533" spans="1:8" x14ac:dyDescent="0.2">
      <c r="A533" s="2" t="s">
        <v>592</v>
      </c>
      <c r="B533" s="2" t="s">
        <v>573</v>
      </c>
      <c r="C533" s="2" t="s">
        <v>23</v>
      </c>
      <c r="D533" s="3">
        <v>729</v>
      </c>
      <c r="E533" s="4" t="s">
        <v>24</v>
      </c>
      <c r="F533" s="5">
        <v>16.86</v>
      </c>
      <c r="G533" s="4" t="s">
        <v>25</v>
      </c>
      <c r="H533" s="6">
        <f t="shared" si="8"/>
        <v>12290.939999999999</v>
      </c>
    </row>
    <row r="534" spans="1:8" x14ac:dyDescent="0.2">
      <c r="A534" s="2" t="s">
        <v>593</v>
      </c>
      <c r="B534" s="2" t="s">
        <v>573</v>
      </c>
      <c r="C534" s="2" t="s">
        <v>57</v>
      </c>
      <c r="D534" s="3">
        <v>2856</v>
      </c>
      <c r="E534" s="4" t="s">
        <v>20</v>
      </c>
      <c r="F534" s="5">
        <v>0.88</v>
      </c>
      <c r="G534" s="4" t="s">
        <v>21</v>
      </c>
      <c r="H534" s="6">
        <f t="shared" si="8"/>
        <v>2513.2800000000002</v>
      </c>
    </row>
    <row r="535" spans="1:8" x14ac:dyDescent="0.2">
      <c r="A535" s="2" t="s">
        <v>594</v>
      </c>
      <c r="B535" s="2" t="s">
        <v>573</v>
      </c>
      <c r="C535" s="2" t="s">
        <v>29</v>
      </c>
      <c r="D535" s="3">
        <v>4451</v>
      </c>
      <c r="E535" s="4" t="s">
        <v>30</v>
      </c>
      <c r="F535" s="5">
        <v>1.35</v>
      </c>
      <c r="G535" s="4" t="s">
        <v>31</v>
      </c>
      <c r="H535" s="6">
        <f t="shared" si="8"/>
        <v>6008.85</v>
      </c>
    </row>
    <row r="536" spans="1:8" x14ac:dyDescent="0.2">
      <c r="A536" s="2" t="s">
        <v>595</v>
      </c>
      <c r="B536" s="2" t="s">
        <v>573</v>
      </c>
      <c r="C536" s="2" t="s">
        <v>71</v>
      </c>
      <c r="D536" s="3">
        <v>1300</v>
      </c>
      <c r="E536" s="4" t="s">
        <v>72</v>
      </c>
      <c r="F536" s="5">
        <v>2827.09</v>
      </c>
      <c r="G536" s="4" t="s">
        <v>73</v>
      </c>
      <c r="H536" s="6">
        <f t="shared" si="8"/>
        <v>3675217</v>
      </c>
    </row>
    <row r="537" spans="1:8" x14ac:dyDescent="0.2">
      <c r="A537" s="2" t="s">
        <v>596</v>
      </c>
      <c r="B537" s="2" t="s">
        <v>573</v>
      </c>
      <c r="C537" s="2" t="s">
        <v>118</v>
      </c>
      <c r="D537" s="3">
        <v>2971</v>
      </c>
      <c r="E537" s="4" t="s">
        <v>24</v>
      </c>
      <c r="F537" s="5">
        <v>0.76</v>
      </c>
      <c r="G537" s="4" t="s">
        <v>25</v>
      </c>
      <c r="H537" s="6">
        <f t="shared" si="8"/>
        <v>2257.96</v>
      </c>
    </row>
    <row r="538" spans="1:8" x14ac:dyDescent="0.2">
      <c r="A538" s="2" t="s">
        <v>597</v>
      </c>
      <c r="B538" s="2" t="s">
        <v>573</v>
      </c>
      <c r="C538" s="2" t="s">
        <v>50</v>
      </c>
      <c r="D538" s="3">
        <v>1656</v>
      </c>
      <c r="E538" s="4" t="s">
        <v>20</v>
      </c>
      <c r="F538" s="5">
        <v>1.18</v>
      </c>
      <c r="G538" s="4" t="s">
        <v>21</v>
      </c>
      <c r="H538" s="6">
        <f t="shared" si="8"/>
        <v>1954.08</v>
      </c>
    </row>
    <row r="539" spans="1:8" x14ac:dyDescent="0.2">
      <c r="A539" s="2" t="s">
        <v>598</v>
      </c>
      <c r="B539" s="2" t="s">
        <v>573</v>
      </c>
      <c r="C539" s="2" t="s">
        <v>42</v>
      </c>
      <c r="D539" s="3">
        <v>4057</v>
      </c>
      <c r="E539" s="4" t="s">
        <v>24</v>
      </c>
      <c r="F539" s="5">
        <v>3.58</v>
      </c>
      <c r="G539" s="4" t="s">
        <v>25</v>
      </c>
      <c r="H539" s="6">
        <f t="shared" si="8"/>
        <v>14524.06</v>
      </c>
    </row>
    <row r="540" spans="1:8" x14ac:dyDescent="0.2">
      <c r="A540" s="2" t="s">
        <v>599</v>
      </c>
      <c r="B540" s="2" t="s">
        <v>573</v>
      </c>
      <c r="C540" s="2" t="s">
        <v>29</v>
      </c>
      <c r="D540" s="3">
        <v>4698</v>
      </c>
      <c r="E540" s="4" t="s">
        <v>30</v>
      </c>
      <c r="F540" s="5">
        <v>1.44</v>
      </c>
      <c r="G540" s="4" t="s">
        <v>31</v>
      </c>
      <c r="H540" s="6">
        <f t="shared" si="8"/>
        <v>6765.12</v>
      </c>
    </row>
    <row r="541" spans="1:8" x14ac:dyDescent="0.2">
      <c r="A541" s="2" t="s">
        <v>600</v>
      </c>
      <c r="B541" s="2" t="s">
        <v>573</v>
      </c>
      <c r="C541" s="2" t="s">
        <v>29</v>
      </c>
      <c r="D541" s="3">
        <v>1073</v>
      </c>
      <c r="E541" s="4" t="s">
        <v>30</v>
      </c>
      <c r="F541" s="5">
        <v>1.73</v>
      </c>
      <c r="G541" s="4" t="s">
        <v>31</v>
      </c>
      <c r="H541" s="6">
        <f t="shared" si="8"/>
        <v>1856.29</v>
      </c>
    </row>
    <row r="542" spans="1:8" x14ac:dyDescent="0.2">
      <c r="A542" s="2" t="s">
        <v>601</v>
      </c>
      <c r="B542" s="2" t="s">
        <v>573</v>
      </c>
      <c r="C542" s="2" t="s">
        <v>27</v>
      </c>
      <c r="D542" s="3">
        <v>548</v>
      </c>
      <c r="E542" s="4" t="s">
        <v>20</v>
      </c>
      <c r="F542" s="5">
        <v>1.57</v>
      </c>
      <c r="G542" s="4" t="s">
        <v>21</v>
      </c>
      <c r="H542" s="6">
        <f t="shared" si="8"/>
        <v>860.36</v>
      </c>
    </row>
    <row r="543" spans="1:8" x14ac:dyDescent="0.2">
      <c r="A543" s="2" t="s">
        <v>602</v>
      </c>
      <c r="B543" s="2" t="s">
        <v>573</v>
      </c>
      <c r="C543" s="2" t="s">
        <v>48</v>
      </c>
      <c r="D543" s="3">
        <v>4316</v>
      </c>
      <c r="E543" s="4" t="s">
        <v>24</v>
      </c>
      <c r="F543" s="5">
        <v>0.11</v>
      </c>
      <c r="G543" s="4" t="s">
        <v>25</v>
      </c>
      <c r="H543" s="6">
        <f t="shared" si="8"/>
        <v>474.76</v>
      </c>
    </row>
    <row r="544" spans="1:8" x14ac:dyDescent="0.2">
      <c r="A544" s="2" t="s">
        <v>603</v>
      </c>
      <c r="B544" s="2" t="s">
        <v>573</v>
      </c>
      <c r="C544" s="2" t="s">
        <v>52</v>
      </c>
      <c r="D544" s="3">
        <v>4719</v>
      </c>
      <c r="E544" s="4" t="s">
        <v>53</v>
      </c>
      <c r="F544" s="5">
        <v>9.3699999999999992</v>
      </c>
      <c r="G544" s="4" t="s">
        <v>54</v>
      </c>
      <c r="H544" s="6">
        <f t="shared" si="8"/>
        <v>44217.03</v>
      </c>
    </row>
    <row r="545" spans="1:8" x14ac:dyDescent="0.2">
      <c r="A545" s="2" t="s">
        <v>604</v>
      </c>
      <c r="B545" s="2" t="s">
        <v>573</v>
      </c>
      <c r="C545" s="2" t="s">
        <v>57</v>
      </c>
      <c r="D545" s="3">
        <v>617</v>
      </c>
      <c r="E545" s="4" t="s">
        <v>20</v>
      </c>
      <c r="F545" s="5">
        <v>0.78</v>
      </c>
      <c r="G545" s="4" t="s">
        <v>21</v>
      </c>
      <c r="H545" s="6">
        <f t="shared" si="8"/>
        <v>481.26</v>
      </c>
    </row>
    <row r="546" spans="1:8" x14ac:dyDescent="0.2">
      <c r="A546" s="2" t="s">
        <v>605</v>
      </c>
      <c r="B546" s="2" t="s">
        <v>573</v>
      </c>
      <c r="C546" s="2" t="s">
        <v>78</v>
      </c>
      <c r="D546" s="3">
        <v>2832</v>
      </c>
      <c r="E546" s="4" t="s">
        <v>38</v>
      </c>
      <c r="F546" s="5">
        <v>1.72</v>
      </c>
      <c r="G546" s="4" t="s">
        <v>39</v>
      </c>
      <c r="H546" s="6">
        <f t="shared" si="8"/>
        <v>4871.04</v>
      </c>
    </row>
    <row r="547" spans="1:8" x14ac:dyDescent="0.2">
      <c r="A547" s="2" t="s">
        <v>606</v>
      </c>
      <c r="B547" s="2" t="s">
        <v>573</v>
      </c>
      <c r="C547" s="2" t="s">
        <v>29</v>
      </c>
      <c r="D547" s="3">
        <v>4825</v>
      </c>
      <c r="E547" s="4" t="s">
        <v>30</v>
      </c>
      <c r="F547" s="5">
        <v>1.22</v>
      </c>
      <c r="G547" s="4" t="s">
        <v>31</v>
      </c>
      <c r="H547" s="6">
        <f t="shared" si="8"/>
        <v>5886.5</v>
      </c>
    </row>
    <row r="548" spans="1:8" x14ac:dyDescent="0.2">
      <c r="A548" s="2" t="s">
        <v>607</v>
      </c>
      <c r="B548" s="2" t="s">
        <v>573</v>
      </c>
      <c r="C548" s="2" t="s">
        <v>89</v>
      </c>
      <c r="D548" s="3">
        <v>3554</v>
      </c>
      <c r="E548" s="4" t="s">
        <v>30</v>
      </c>
      <c r="F548" s="5">
        <v>2.4</v>
      </c>
      <c r="G548" s="4" t="s">
        <v>31</v>
      </c>
      <c r="H548" s="6">
        <f t="shared" si="8"/>
        <v>8529.6</v>
      </c>
    </row>
    <row r="549" spans="1:8" x14ac:dyDescent="0.2">
      <c r="A549" s="2" t="s">
        <v>608</v>
      </c>
      <c r="B549" s="2" t="s">
        <v>609</v>
      </c>
      <c r="C549" s="2" t="s">
        <v>37</v>
      </c>
      <c r="D549" s="3">
        <v>1027</v>
      </c>
      <c r="E549" s="4" t="s">
        <v>38</v>
      </c>
      <c r="F549" s="5">
        <v>3.55</v>
      </c>
      <c r="G549" s="4" t="s">
        <v>39</v>
      </c>
      <c r="H549" s="6">
        <f t="shared" si="8"/>
        <v>3645.85</v>
      </c>
    </row>
    <row r="550" spans="1:8" x14ac:dyDescent="0.2">
      <c r="A550" s="2" t="s">
        <v>610</v>
      </c>
      <c r="B550" s="2" t="s">
        <v>609</v>
      </c>
      <c r="C550" s="2" t="s">
        <v>71</v>
      </c>
      <c r="D550" s="3">
        <v>1358</v>
      </c>
      <c r="E550" s="4" t="s">
        <v>72</v>
      </c>
      <c r="F550" s="5">
        <v>2497.1799999999998</v>
      </c>
      <c r="G550" s="4" t="s">
        <v>73</v>
      </c>
      <c r="H550" s="6">
        <f t="shared" si="8"/>
        <v>3391170.44</v>
      </c>
    </row>
    <row r="551" spans="1:8" x14ac:dyDescent="0.2">
      <c r="A551" s="2" t="s">
        <v>611</v>
      </c>
      <c r="B551" s="2" t="s">
        <v>609</v>
      </c>
      <c r="C551" s="2" t="s">
        <v>42</v>
      </c>
      <c r="D551" s="3">
        <v>2844</v>
      </c>
      <c r="E551" s="4" t="s">
        <v>24</v>
      </c>
      <c r="F551" s="5">
        <v>6.34</v>
      </c>
      <c r="G551" s="4" t="s">
        <v>25</v>
      </c>
      <c r="H551" s="6">
        <f t="shared" si="8"/>
        <v>18030.96</v>
      </c>
    </row>
    <row r="552" spans="1:8" x14ac:dyDescent="0.2">
      <c r="A552" s="2" t="s">
        <v>612</v>
      </c>
      <c r="B552" s="2" t="s">
        <v>609</v>
      </c>
      <c r="C552" s="2" t="s">
        <v>78</v>
      </c>
      <c r="D552" s="3">
        <v>2336</v>
      </c>
      <c r="E552" s="4" t="s">
        <v>38</v>
      </c>
      <c r="F552" s="5">
        <v>2.94</v>
      </c>
      <c r="G552" s="4" t="s">
        <v>39</v>
      </c>
      <c r="H552" s="6">
        <f t="shared" si="8"/>
        <v>6867.84</v>
      </c>
    </row>
    <row r="553" spans="1:8" x14ac:dyDescent="0.2">
      <c r="A553" s="2" t="s">
        <v>613</v>
      </c>
      <c r="B553" s="2" t="s">
        <v>609</v>
      </c>
      <c r="C553" s="2" t="s">
        <v>86</v>
      </c>
      <c r="D553" s="3">
        <v>1618</v>
      </c>
      <c r="E553" s="4" t="s">
        <v>72</v>
      </c>
      <c r="F553" s="5">
        <v>8689.08</v>
      </c>
      <c r="G553" s="4" t="s">
        <v>73</v>
      </c>
      <c r="H553" s="6">
        <f t="shared" si="8"/>
        <v>14058931.439999999</v>
      </c>
    </row>
    <row r="554" spans="1:8" x14ac:dyDescent="0.2">
      <c r="A554" s="2" t="s">
        <v>614</v>
      </c>
      <c r="B554" s="2" t="s">
        <v>609</v>
      </c>
      <c r="C554" s="2" t="s">
        <v>29</v>
      </c>
      <c r="D554" s="3">
        <v>2258</v>
      </c>
      <c r="E554" s="4" t="s">
        <v>30</v>
      </c>
      <c r="F554" s="5">
        <v>1.1499999999999999</v>
      </c>
      <c r="G554" s="4" t="s">
        <v>31</v>
      </c>
      <c r="H554" s="6">
        <f t="shared" si="8"/>
        <v>2596.6999999999998</v>
      </c>
    </row>
    <row r="555" spans="1:8" x14ac:dyDescent="0.2">
      <c r="A555" s="2" t="s">
        <v>615</v>
      </c>
      <c r="B555" s="2" t="s">
        <v>609</v>
      </c>
      <c r="C555" s="2" t="s">
        <v>71</v>
      </c>
      <c r="D555" s="3">
        <v>4380</v>
      </c>
      <c r="E555" s="4" t="s">
        <v>72</v>
      </c>
      <c r="F555" s="5">
        <v>2456.06</v>
      </c>
      <c r="G555" s="4" t="s">
        <v>73</v>
      </c>
      <c r="H555" s="6">
        <f t="shared" si="8"/>
        <v>10757542.799999999</v>
      </c>
    </row>
    <row r="556" spans="1:8" x14ac:dyDescent="0.2">
      <c r="A556" s="2" t="s">
        <v>616</v>
      </c>
      <c r="B556" s="2" t="s">
        <v>609</v>
      </c>
      <c r="C556" s="2" t="s">
        <v>118</v>
      </c>
      <c r="D556" s="3">
        <v>4858</v>
      </c>
      <c r="E556" s="4" t="s">
        <v>24</v>
      </c>
      <c r="F556" s="5">
        <v>1.06</v>
      </c>
      <c r="G556" s="4" t="s">
        <v>25</v>
      </c>
      <c r="H556" s="6">
        <f t="shared" si="8"/>
        <v>5149.4800000000005</v>
      </c>
    </row>
    <row r="557" spans="1:8" x14ac:dyDescent="0.2">
      <c r="A557" s="2" t="s">
        <v>617</v>
      </c>
      <c r="B557" s="2" t="s">
        <v>609</v>
      </c>
      <c r="C557" s="2" t="s">
        <v>89</v>
      </c>
      <c r="D557" s="3">
        <v>1412</v>
      </c>
      <c r="E557" s="4" t="s">
        <v>30</v>
      </c>
      <c r="F557" s="5">
        <v>2.59</v>
      </c>
      <c r="G557" s="4" t="s">
        <v>31</v>
      </c>
      <c r="H557" s="6">
        <f t="shared" si="8"/>
        <v>3657.08</v>
      </c>
    </row>
    <row r="558" spans="1:8" x14ac:dyDescent="0.2">
      <c r="A558" s="2" t="s">
        <v>618</v>
      </c>
      <c r="B558" s="2" t="s">
        <v>609</v>
      </c>
      <c r="C558" s="2" t="s">
        <v>147</v>
      </c>
      <c r="D558" s="3">
        <v>2775</v>
      </c>
      <c r="E558" s="4" t="s">
        <v>53</v>
      </c>
      <c r="F558" s="5">
        <v>14.74</v>
      </c>
      <c r="G558" s="4" t="s">
        <v>54</v>
      </c>
      <c r="H558" s="6">
        <f t="shared" si="8"/>
        <v>40903.5</v>
      </c>
    </row>
    <row r="559" spans="1:8" x14ac:dyDescent="0.2">
      <c r="A559" s="2" t="s">
        <v>619</v>
      </c>
      <c r="B559" s="2" t="s">
        <v>609</v>
      </c>
      <c r="C559" s="2" t="s">
        <v>46</v>
      </c>
      <c r="D559" s="3">
        <v>347</v>
      </c>
      <c r="E559" s="4" t="s">
        <v>20</v>
      </c>
      <c r="F559" s="5">
        <v>3.65</v>
      </c>
      <c r="G559" s="4" t="s">
        <v>21</v>
      </c>
      <c r="H559" s="6">
        <f t="shared" si="8"/>
        <v>1266.55</v>
      </c>
    </row>
    <row r="560" spans="1:8" x14ac:dyDescent="0.2">
      <c r="A560" s="2" t="s">
        <v>620</v>
      </c>
      <c r="B560" s="2" t="s">
        <v>609</v>
      </c>
      <c r="C560" s="2" t="s">
        <v>33</v>
      </c>
      <c r="D560" s="3">
        <v>675</v>
      </c>
      <c r="E560" s="4" t="s">
        <v>34</v>
      </c>
      <c r="F560" s="5">
        <v>3.61</v>
      </c>
      <c r="G560" s="4" t="s">
        <v>35</v>
      </c>
      <c r="H560" s="6">
        <f t="shared" si="8"/>
        <v>2436.75</v>
      </c>
    </row>
    <row r="561" spans="1:8" x14ac:dyDescent="0.2">
      <c r="A561" s="2" t="s">
        <v>621</v>
      </c>
      <c r="B561" s="2" t="s">
        <v>609</v>
      </c>
      <c r="C561" s="2" t="s">
        <v>46</v>
      </c>
      <c r="D561" s="3">
        <v>2178</v>
      </c>
      <c r="E561" s="4" t="s">
        <v>20</v>
      </c>
      <c r="F561" s="5">
        <v>3.3</v>
      </c>
      <c r="G561" s="4" t="s">
        <v>21</v>
      </c>
      <c r="H561" s="6">
        <f t="shared" si="8"/>
        <v>7187.4</v>
      </c>
    </row>
    <row r="562" spans="1:8" x14ac:dyDescent="0.2">
      <c r="A562" s="2" t="s">
        <v>622</v>
      </c>
      <c r="B562" s="2" t="s">
        <v>609</v>
      </c>
      <c r="C562" s="2" t="s">
        <v>46</v>
      </c>
      <c r="D562" s="3">
        <v>3422</v>
      </c>
      <c r="E562" s="4" t="s">
        <v>20</v>
      </c>
      <c r="F562" s="5">
        <v>3.24</v>
      </c>
      <c r="G562" s="4" t="s">
        <v>21</v>
      </c>
      <c r="H562" s="6">
        <f t="shared" si="8"/>
        <v>11087.28</v>
      </c>
    </row>
    <row r="563" spans="1:8" x14ac:dyDescent="0.2">
      <c r="A563" s="2" t="s">
        <v>623</v>
      </c>
      <c r="B563" s="2" t="s">
        <v>609</v>
      </c>
      <c r="C563" s="2" t="s">
        <v>33</v>
      </c>
      <c r="D563" s="3">
        <v>4089</v>
      </c>
      <c r="E563" s="4" t="s">
        <v>34</v>
      </c>
      <c r="F563" s="5">
        <v>5.72</v>
      </c>
      <c r="G563" s="4" t="s">
        <v>35</v>
      </c>
      <c r="H563" s="6">
        <f t="shared" si="8"/>
        <v>23389.079999999998</v>
      </c>
    </row>
    <row r="564" spans="1:8" x14ac:dyDescent="0.2">
      <c r="A564" s="2" t="s">
        <v>624</v>
      </c>
      <c r="B564" s="2" t="s">
        <v>609</v>
      </c>
      <c r="C564" s="2" t="s">
        <v>29</v>
      </c>
      <c r="D564" s="3">
        <v>2382</v>
      </c>
      <c r="E564" s="4" t="s">
        <v>30</v>
      </c>
      <c r="F564" s="5">
        <v>1.77</v>
      </c>
      <c r="G564" s="4" t="s">
        <v>31</v>
      </c>
      <c r="H564" s="6">
        <f t="shared" si="8"/>
        <v>4216.1400000000003</v>
      </c>
    </row>
    <row r="565" spans="1:8" x14ac:dyDescent="0.2">
      <c r="A565" s="2" t="s">
        <v>625</v>
      </c>
      <c r="B565" s="2" t="s">
        <v>609</v>
      </c>
      <c r="C565" s="2" t="s">
        <v>71</v>
      </c>
      <c r="D565" s="3">
        <v>3966</v>
      </c>
      <c r="E565" s="4" t="s">
        <v>72</v>
      </c>
      <c r="F565" s="5">
        <v>2546.9299999999998</v>
      </c>
      <c r="G565" s="4" t="s">
        <v>73</v>
      </c>
      <c r="H565" s="6">
        <f t="shared" si="8"/>
        <v>10101124.379999999</v>
      </c>
    </row>
    <row r="566" spans="1:8" x14ac:dyDescent="0.2">
      <c r="A566" s="2" t="s">
        <v>626</v>
      </c>
      <c r="B566" s="2" t="s">
        <v>609</v>
      </c>
      <c r="C566" s="2" t="s">
        <v>67</v>
      </c>
      <c r="D566" s="3">
        <v>2446</v>
      </c>
      <c r="E566" s="4" t="s">
        <v>24</v>
      </c>
      <c r="F566" s="5">
        <v>0.44</v>
      </c>
      <c r="G566" s="4" t="s">
        <v>25</v>
      </c>
      <c r="H566" s="6">
        <f t="shared" si="8"/>
        <v>1076.24</v>
      </c>
    </row>
    <row r="567" spans="1:8" x14ac:dyDescent="0.2">
      <c r="A567" s="2" t="s">
        <v>627</v>
      </c>
      <c r="B567" s="2" t="s">
        <v>609</v>
      </c>
      <c r="C567" s="2" t="s">
        <v>37</v>
      </c>
      <c r="D567" s="3">
        <v>1304</v>
      </c>
      <c r="E567" s="4" t="s">
        <v>38</v>
      </c>
      <c r="F567" s="5">
        <v>3.32</v>
      </c>
      <c r="G567" s="4" t="s">
        <v>39</v>
      </c>
      <c r="H567" s="6">
        <f t="shared" si="8"/>
        <v>4329.28</v>
      </c>
    </row>
    <row r="568" spans="1:8" x14ac:dyDescent="0.2">
      <c r="A568" s="2" t="s">
        <v>628</v>
      </c>
      <c r="B568" s="2" t="s">
        <v>609</v>
      </c>
      <c r="C568" s="2" t="s">
        <v>48</v>
      </c>
      <c r="D568" s="3">
        <v>3814</v>
      </c>
      <c r="E568" s="4" t="s">
        <v>24</v>
      </c>
      <c r="F568" s="5">
        <v>0.08</v>
      </c>
      <c r="G568" s="4" t="s">
        <v>25</v>
      </c>
      <c r="H568" s="6">
        <f t="shared" si="8"/>
        <v>305.12</v>
      </c>
    </row>
    <row r="569" spans="1:8" x14ac:dyDescent="0.2">
      <c r="A569" s="2" t="s">
        <v>629</v>
      </c>
      <c r="B569" s="2" t="s">
        <v>609</v>
      </c>
      <c r="C569" s="2" t="s">
        <v>147</v>
      </c>
      <c r="D569" s="3">
        <v>1186</v>
      </c>
      <c r="E569" s="4" t="s">
        <v>53</v>
      </c>
      <c r="F569" s="5">
        <v>10.5</v>
      </c>
      <c r="G569" s="4" t="s">
        <v>54</v>
      </c>
      <c r="H569" s="6">
        <f t="shared" si="8"/>
        <v>12453</v>
      </c>
    </row>
    <row r="570" spans="1:8" x14ac:dyDescent="0.2">
      <c r="A570" s="2" t="s">
        <v>630</v>
      </c>
      <c r="B570" s="2" t="s">
        <v>609</v>
      </c>
      <c r="C570" s="2" t="s">
        <v>57</v>
      </c>
      <c r="D570" s="3">
        <v>2839</v>
      </c>
      <c r="E570" s="4" t="s">
        <v>20</v>
      </c>
      <c r="F570" s="5">
        <v>0.99</v>
      </c>
      <c r="G570" s="4" t="s">
        <v>21</v>
      </c>
      <c r="H570" s="6">
        <f t="shared" si="8"/>
        <v>2810.61</v>
      </c>
    </row>
    <row r="571" spans="1:8" x14ac:dyDescent="0.2">
      <c r="A571" s="2" t="s">
        <v>631</v>
      </c>
      <c r="B571" s="2" t="s">
        <v>609</v>
      </c>
      <c r="C571" s="2" t="s">
        <v>89</v>
      </c>
      <c r="D571" s="3">
        <v>3045</v>
      </c>
      <c r="E571" s="4" t="s">
        <v>30</v>
      </c>
      <c r="F571" s="5">
        <v>2.42</v>
      </c>
      <c r="G571" s="4" t="s">
        <v>31</v>
      </c>
      <c r="H571" s="6">
        <f t="shared" si="8"/>
        <v>7368.9</v>
      </c>
    </row>
    <row r="572" spans="1:8" x14ac:dyDescent="0.2">
      <c r="A572" s="2" t="s">
        <v>632</v>
      </c>
      <c r="B572" s="2" t="s">
        <v>609</v>
      </c>
      <c r="C572" s="2" t="s">
        <v>50</v>
      </c>
      <c r="D572" s="3">
        <v>2624</v>
      </c>
      <c r="E572" s="4" t="s">
        <v>20</v>
      </c>
      <c r="F572" s="5">
        <v>0.85</v>
      </c>
      <c r="G572" s="4" t="s">
        <v>21</v>
      </c>
      <c r="H572" s="6">
        <f t="shared" si="8"/>
        <v>2230.4</v>
      </c>
    </row>
    <row r="573" spans="1:8" x14ac:dyDescent="0.2">
      <c r="A573" s="2" t="s">
        <v>633</v>
      </c>
      <c r="B573" s="2" t="s">
        <v>609</v>
      </c>
      <c r="C573" s="2" t="s">
        <v>50</v>
      </c>
      <c r="D573" s="3">
        <v>2201</v>
      </c>
      <c r="E573" s="4" t="s">
        <v>20</v>
      </c>
      <c r="F573" s="5">
        <v>0.97</v>
      </c>
      <c r="G573" s="4" t="s">
        <v>21</v>
      </c>
      <c r="H573" s="6">
        <f t="shared" si="8"/>
        <v>2134.9699999999998</v>
      </c>
    </row>
    <row r="574" spans="1:8" x14ac:dyDescent="0.2">
      <c r="A574" s="2" t="s">
        <v>634</v>
      </c>
      <c r="B574" s="2" t="s">
        <v>609</v>
      </c>
      <c r="C574" s="2" t="s">
        <v>89</v>
      </c>
      <c r="D574" s="3">
        <v>803</v>
      </c>
      <c r="E574" s="4" t="s">
        <v>30</v>
      </c>
      <c r="F574" s="5">
        <v>1.86</v>
      </c>
      <c r="G574" s="4" t="s">
        <v>31</v>
      </c>
      <c r="H574" s="6">
        <f t="shared" si="8"/>
        <v>1493.5800000000002</v>
      </c>
    </row>
    <row r="575" spans="1:8" x14ac:dyDescent="0.2">
      <c r="A575" s="2" t="s">
        <v>635</v>
      </c>
      <c r="B575" s="2" t="s">
        <v>609</v>
      </c>
      <c r="C575" s="2" t="s">
        <v>67</v>
      </c>
      <c r="D575" s="3">
        <v>3435</v>
      </c>
      <c r="E575" s="4" t="s">
        <v>24</v>
      </c>
      <c r="F575" s="5">
        <v>0.37</v>
      </c>
      <c r="G575" s="4" t="s">
        <v>25</v>
      </c>
      <c r="H575" s="6">
        <f t="shared" si="8"/>
        <v>1270.95</v>
      </c>
    </row>
    <row r="576" spans="1:8" x14ac:dyDescent="0.2">
      <c r="A576" s="2" t="s">
        <v>636</v>
      </c>
      <c r="B576" s="2" t="s">
        <v>609</v>
      </c>
      <c r="C576" s="2" t="s">
        <v>118</v>
      </c>
      <c r="D576" s="3">
        <v>2692</v>
      </c>
      <c r="E576" s="4" t="s">
        <v>24</v>
      </c>
      <c r="F576" s="5">
        <v>1.05</v>
      </c>
      <c r="G576" s="4" t="s">
        <v>25</v>
      </c>
      <c r="H576" s="6">
        <f t="shared" si="8"/>
        <v>2826.6</v>
      </c>
    </row>
    <row r="577" spans="1:8" x14ac:dyDescent="0.2">
      <c r="A577" s="2" t="s">
        <v>637</v>
      </c>
      <c r="B577" s="2" t="s">
        <v>609</v>
      </c>
      <c r="C577" s="2" t="s">
        <v>57</v>
      </c>
      <c r="D577" s="3">
        <v>1565</v>
      </c>
      <c r="E577" s="4" t="s">
        <v>20</v>
      </c>
      <c r="F577" s="5">
        <v>0.91</v>
      </c>
      <c r="G577" s="4" t="s">
        <v>21</v>
      </c>
      <c r="H577" s="6">
        <f t="shared" si="8"/>
        <v>1424.15</v>
      </c>
    </row>
    <row r="578" spans="1:8" x14ac:dyDescent="0.2">
      <c r="A578" s="2" t="s">
        <v>638</v>
      </c>
      <c r="B578" s="2" t="s">
        <v>609</v>
      </c>
      <c r="C578" s="2" t="s">
        <v>48</v>
      </c>
      <c r="D578" s="3">
        <v>4226</v>
      </c>
      <c r="E578" s="4" t="s">
        <v>24</v>
      </c>
      <c r="F578" s="5">
        <v>0.12</v>
      </c>
      <c r="G578" s="4" t="s">
        <v>25</v>
      </c>
      <c r="H578" s="6">
        <f t="shared" ref="H578:H641" si="9">D578*F578</f>
        <v>507.12</v>
      </c>
    </row>
    <row r="579" spans="1:8" x14ac:dyDescent="0.2">
      <c r="A579" s="2" t="s">
        <v>639</v>
      </c>
      <c r="B579" s="2" t="s">
        <v>609</v>
      </c>
      <c r="C579" s="2" t="s">
        <v>71</v>
      </c>
      <c r="D579" s="3">
        <v>4084</v>
      </c>
      <c r="E579" s="4" t="s">
        <v>72</v>
      </c>
      <c r="F579" s="5">
        <v>2413.91</v>
      </c>
      <c r="G579" s="4" t="s">
        <v>73</v>
      </c>
      <c r="H579" s="6">
        <f t="shared" si="9"/>
        <v>9858408.4399999995</v>
      </c>
    </row>
    <row r="580" spans="1:8" x14ac:dyDescent="0.2">
      <c r="A580" s="2" t="s">
        <v>640</v>
      </c>
      <c r="B580" s="2" t="s">
        <v>609</v>
      </c>
      <c r="C580" s="2" t="s">
        <v>67</v>
      </c>
      <c r="D580" s="3">
        <v>4150</v>
      </c>
      <c r="E580" s="4" t="s">
        <v>24</v>
      </c>
      <c r="F580" s="5">
        <v>0.44</v>
      </c>
      <c r="G580" s="4" t="s">
        <v>25</v>
      </c>
      <c r="H580" s="6">
        <f t="shared" si="9"/>
        <v>1826</v>
      </c>
    </row>
    <row r="581" spans="1:8" x14ac:dyDescent="0.2">
      <c r="A581" s="2" t="s">
        <v>641</v>
      </c>
      <c r="B581" s="2" t="s">
        <v>609</v>
      </c>
      <c r="C581" s="2" t="s">
        <v>42</v>
      </c>
      <c r="D581" s="3">
        <v>1772</v>
      </c>
      <c r="E581" s="4" t="s">
        <v>24</v>
      </c>
      <c r="F581" s="5">
        <v>5.25</v>
      </c>
      <c r="G581" s="4" t="s">
        <v>25</v>
      </c>
      <c r="H581" s="6">
        <f t="shared" si="9"/>
        <v>9303</v>
      </c>
    </row>
    <row r="582" spans="1:8" x14ac:dyDescent="0.2">
      <c r="A582" s="2" t="s">
        <v>642</v>
      </c>
      <c r="B582" s="2" t="s">
        <v>609</v>
      </c>
      <c r="C582" s="2" t="s">
        <v>37</v>
      </c>
      <c r="D582" s="3">
        <v>424</v>
      </c>
      <c r="E582" s="4" t="s">
        <v>38</v>
      </c>
      <c r="F582" s="5">
        <v>2.84</v>
      </c>
      <c r="G582" s="4" t="s">
        <v>39</v>
      </c>
      <c r="H582" s="6">
        <f t="shared" si="9"/>
        <v>1204.1599999999999</v>
      </c>
    </row>
    <row r="583" spans="1:8" x14ac:dyDescent="0.2">
      <c r="A583" s="2" t="s">
        <v>643</v>
      </c>
      <c r="B583" s="2" t="s">
        <v>609</v>
      </c>
      <c r="C583" s="2" t="s">
        <v>147</v>
      </c>
      <c r="D583" s="3">
        <v>3865</v>
      </c>
      <c r="E583" s="4" t="s">
        <v>53</v>
      </c>
      <c r="F583" s="5">
        <v>10.29</v>
      </c>
      <c r="G583" s="4" t="s">
        <v>54</v>
      </c>
      <c r="H583" s="6">
        <f t="shared" si="9"/>
        <v>39770.85</v>
      </c>
    </row>
    <row r="584" spans="1:8" x14ac:dyDescent="0.2">
      <c r="A584" s="2" t="s">
        <v>644</v>
      </c>
      <c r="B584" s="2" t="s">
        <v>609</v>
      </c>
      <c r="C584" s="2" t="s">
        <v>33</v>
      </c>
      <c r="D584" s="3">
        <v>890</v>
      </c>
      <c r="E584" s="4" t="s">
        <v>34</v>
      </c>
      <c r="F584" s="5">
        <v>4.58</v>
      </c>
      <c r="G584" s="4" t="s">
        <v>35</v>
      </c>
      <c r="H584" s="6">
        <f t="shared" si="9"/>
        <v>4076.2000000000003</v>
      </c>
    </row>
    <row r="585" spans="1:8" x14ac:dyDescent="0.2">
      <c r="A585" s="2" t="s">
        <v>645</v>
      </c>
      <c r="B585" s="2" t="s">
        <v>609</v>
      </c>
      <c r="C585" s="2" t="s">
        <v>86</v>
      </c>
      <c r="D585" s="3">
        <v>3006</v>
      </c>
      <c r="E585" s="4" t="s">
        <v>72</v>
      </c>
      <c r="F585" s="5">
        <v>8869.4</v>
      </c>
      <c r="G585" s="4" t="s">
        <v>73</v>
      </c>
      <c r="H585" s="6">
        <f t="shared" si="9"/>
        <v>26661416.399999999</v>
      </c>
    </row>
    <row r="586" spans="1:8" x14ac:dyDescent="0.2">
      <c r="A586" s="2" t="s">
        <v>646</v>
      </c>
      <c r="B586" s="2" t="s">
        <v>609</v>
      </c>
      <c r="C586" s="2" t="s">
        <v>19</v>
      </c>
      <c r="D586" s="3">
        <v>380</v>
      </c>
      <c r="E586" s="4" t="s">
        <v>20</v>
      </c>
      <c r="F586" s="5">
        <v>1.34</v>
      </c>
      <c r="G586" s="4" t="s">
        <v>21</v>
      </c>
      <c r="H586" s="6">
        <f t="shared" si="9"/>
        <v>509.20000000000005</v>
      </c>
    </row>
    <row r="587" spans="1:8" x14ac:dyDescent="0.2">
      <c r="A587" s="2" t="s">
        <v>647</v>
      </c>
      <c r="B587" s="2" t="s">
        <v>609</v>
      </c>
      <c r="C587" s="2" t="s">
        <v>46</v>
      </c>
      <c r="D587" s="3">
        <v>4612</v>
      </c>
      <c r="E587" s="4" t="s">
        <v>20</v>
      </c>
      <c r="F587" s="5">
        <v>2.39</v>
      </c>
      <c r="G587" s="4" t="s">
        <v>21</v>
      </c>
      <c r="H587" s="6">
        <f t="shared" si="9"/>
        <v>11022.68</v>
      </c>
    </row>
    <row r="588" spans="1:8" x14ac:dyDescent="0.2">
      <c r="A588" s="2" t="s">
        <v>648</v>
      </c>
      <c r="B588" s="2" t="s">
        <v>609</v>
      </c>
      <c r="C588" s="2" t="s">
        <v>29</v>
      </c>
      <c r="D588" s="3">
        <v>2374</v>
      </c>
      <c r="E588" s="4" t="s">
        <v>30</v>
      </c>
      <c r="F588" s="5">
        <v>1.0900000000000001</v>
      </c>
      <c r="G588" s="4" t="s">
        <v>31</v>
      </c>
      <c r="H588" s="6">
        <f t="shared" si="9"/>
        <v>2587.6600000000003</v>
      </c>
    </row>
    <row r="589" spans="1:8" x14ac:dyDescent="0.2">
      <c r="A589" s="2" t="s">
        <v>649</v>
      </c>
      <c r="B589" s="2" t="s">
        <v>609</v>
      </c>
      <c r="C589" s="2" t="s">
        <v>78</v>
      </c>
      <c r="D589" s="3">
        <v>3699</v>
      </c>
      <c r="E589" s="4" t="s">
        <v>38</v>
      </c>
      <c r="F589" s="5">
        <v>2.8</v>
      </c>
      <c r="G589" s="4" t="s">
        <v>39</v>
      </c>
      <c r="H589" s="6">
        <f t="shared" si="9"/>
        <v>10357.199999999999</v>
      </c>
    </row>
    <row r="590" spans="1:8" x14ac:dyDescent="0.2">
      <c r="A590" s="2" t="s">
        <v>650</v>
      </c>
      <c r="B590" s="2" t="s">
        <v>609</v>
      </c>
      <c r="C590" s="2" t="s">
        <v>86</v>
      </c>
      <c r="D590" s="3">
        <v>983</v>
      </c>
      <c r="E590" s="4" t="s">
        <v>72</v>
      </c>
      <c r="F590" s="5">
        <v>7980.13</v>
      </c>
      <c r="G590" s="4" t="s">
        <v>73</v>
      </c>
      <c r="H590" s="6">
        <f t="shared" si="9"/>
        <v>7844467.79</v>
      </c>
    </row>
    <row r="591" spans="1:8" x14ac:dyDescent="0.2">
      <c r="A591" s="2" t="s">
        <v>651</v>
      </c>
      <c r="B591" s="2" t="s">
        <v>609</v>
      </c>
      <c r="C591" s="2" t="s">
        <v>50</v>
      </c>
      <c r="D591" s="3">
        <v>3236</v>
      </c>
      <c r="E591" s="4" t="s">
        <v>20</v>
      </c>
      <c r="F591" s="5">
        <v>0.92</v>
      </c>
      <c r="G591" s="4" t="s">
        <v>21</v>
      </c>
      <c r="H591" s="6">
        <f t="shared" si="9"/>
        <v>2977.1200000000003</v>
      </c>
    </row>
    <row r="592" spans="1:8" x14ac:dyDescent="0.2">
      <c r="A592" s="2" t="s">
        <v>652</v>
      </c>
      <c r="B592" s="2" t="s">
        <v>609</v>
      </c>
      <c r="C592" s="2" t="s">
        <v>57</v>
      </c>
      <c r="D592" s="3">
        <v>4579</v>
      </c>
      <c r="E592" s="4" t="s">
        <v>20</v>
      </c>
      <c r="F592" s="5">
        <v>0.98</v>
      </c>
      <c r="G592" s="4" t="s">
        <v>21</v>
      </c>
      <c r="H592" s="6">
        <f t="shared" si="9"/>
        <v>4487.42</v>
      </c>
    </row>
    <row r="593" spans="1:8" x14ac:dyDescent="0.2">
      <c r="A593" s="2" t="s">
        <v>653</v>
      </c>
      <c r="B593" s="2" t="s">
        <v>609</v>
      </c>
      <c r="C593" s="2" t="s">
        <v>89</v>
      </c>
      <c r="D593" s="3">
        <v>1640</v>
      </c>
      <c r="E593" s="4" t="s">
        <v>30</v>
      </c>
      <c r="F593" s="5">
        <v>2.52</v>
      </c>
      <c r="G593" s="4" t="s">
        <v>31</v>
      </c>
      <c r="H593" s="6">
        <f t="shared" si="9"/>
        <v>4132.8</v>
      </c>
    </row>
    <row r="594" spans="1:8" x14ac:dyDescent="0.2">
      <c r="A594" s="2" t="s">
        <v>654</v>
      </c>
      <c r="B594" s="2" t="s">
        <v>609</v>
      </c>
      <c r="C594" s="2" t="s">
        <v>67</v>
      </c>
      <c r="D594" s="3">
        <v>4106</v>
      </c>
      <c r="E594" s="4" t="s">
        <v>24</v>
      </c>
      <c r="F594" s="5">
        <v>0.31</v>
      </c>
      <c r="G594" s="4" t="s">
        <v>25</v>
      </c>
      <c r="H594" s="6">
        <f t="shared" si="9"/>
        <v>1272.8599999999999</v>
      </c>
    </row>
    <row r="595" spans="1:8" x14ac:dyDescent="0.2">
      <c r="A595" s="2" t="s">
        <v>655</v>
      </c>
      <c r="B595" s="2" t="s">
        <v>609</v>
      </c>
      <c r="C595" s="2" t="s">
        <v>37</v>
      </c>
      <c r="D595" s="3">
        <v>1132</v>
      </c>
      <c r="E595" s="4" t="s">
        <v>38</v>
      </c>
      <c r="F595" s="5">
        <v>4.1399999999999997</v>
      </c>
      <c r="G595" s="4" t="s">
        <v>39</v>
      </c>
      <c r="H595" s="6">
        <f t="shared" si="9"/>
        <v>4686.4799999999996</v>
      </c>
    </row>
    <row r="596" spans="1:8" x14ac:dyDescent="0.2">
      <c r="A596" s="2" t="s">
        <v>656</v>
      </c>
      <c r="B596" s="2" t="s">
        <v>609</v>
      </c>
      <c r="C596" s="2" t="s">
        <v>48</v>
      </c>
      <c r="D596" s="3">
        <v>4264</v>
      </c>
      <c r="E596" s="4" t="s">
        <v>24</v>
      </c>
      <c r="F596" s="5">
        <v>0.12</v>
      </c>
      <c r="G596" s="4" t="s">
        <v>25</v>
      </c>
      <c r="H596" s="6">
        <f t="shared" si="9"/>
        <v>511.68</v>
      </c>
    </row>
    <row r="597" spans="1:8" x14ac:dyDescent="0.2">
      <c r="A597" s="2" t="s">
        <v>657</v>
      </c>
      <c r="B597" s="2" t="s">
        <v>609</v>
      </c>
      <c r="C597" s="2" t="s">
        <v>147</v>
      </c>
      <c r="D597" s="3">
        <v>4233</v>
      </c>
      <c r="E597" s="4" t="s">
        <v>53</v>
      </c>
      <c r="F597" s="5">
        <v>9.1199999999999992</v>
      </c>
      <c r="G597" s="4" t="s">
        <v>54</v>
      </c>
      <c r="H597" s="6">
        <f t="shared" si="9"/>
        <v>38604.959999999999</v>
      </c>
    </row>
    <row r="598" spans="1:8" x14ac:dyDescent="0.2">
      <c r="A598" s="2" t="s">
        <v>658</v>
      </c>
      <c r="B598" s="2" t="s">
        <v>609</v>
      </c>
      <c r="C598" s="2" t="s">
        <v>147</v>
      </c>
      <c r="D598" s="3">
        <v>2619</v>
      </c>
      <c r="E598" s="4" t="s">
        <v>53</v>
      </c>
      <c r="F598" s="5">
        <v>9.3000000000000007</v>
      </c>
      <c r="G598" s="4" t="s">
        <v>54</v>
      </c>
      <c r="H598" s="6">
        <f t="shared" si="9"/>
        <v>24356.7</v>
      </c>
    </row>
    <row r="599" spans="1:8" x14ac:dyDescent="0.2">
      <c r="A599" s="2" t="s">
        <v>659</v>
      </c>
      <c r="B599" s="2" t="s">
        <v>609</v>
      </c>
      <c r="C599" s="2" t="s">
        <v>147</v>
      </c>
      <c r="D599" s="3">
        <v>2461</v>
      </c>
      <c r="E599" s="4" t="s">
        <v>53</v>
      </c>
      <c r="F599" s="5">
        <v>12.75</v>
      </c>
      <c r="G599" s="4" t="s">
        <v>54</v>
      </c>
      <c r="H599" s="6">
        <f t="shared" si="9"/>
        <v>31377.75</v>
      </c>
    </row>
    <row r="600" spans="1:8" x14ac:dyDescent="0.2">
      <c r="A600" s="2" t="s">
        <v>660</v>
      </c>
      <c r="B600" s="2" t="s">
        <v>609</v>
      </c>
      <c r="C600" s="2" t="s">
        <v>78</v>
      </c>
      <c r="D600" s="3">
        <v>4185</v>
      </c>
      <c r="E600" s="4" t="s">
        <v>38</v>
      </c>
      <c r="F600" s="5">
        <v>2.4</v>
      </c>
      <c r="G600" s="4" t="s">
        <v>39</v>
      </c>
      <c r="H600" s="6">
        <f t="shared" si="9"/>
        <v>10044</v>
      </c>
    </row>
    <row r="601" spans="1:8" x14ac:dyDescent="0.2">
      <c r="A601" s="2" t="s">
        <v>661</v>
      </c>
      <c r="B601" s="2" t="s">
        <v>609</v>
      </c>
      <c r="C601" s="2" t="s">
        <v>46</v>
      </c>
      <c r="D601" s="3">
        <v>2465</v>
      </c>
      <c r="E601" s="4" t="s">
        <v>20</v>
      </c>
      <c r="F601" s="5">
        <v>2.95</v>
      </c>
      <c r="G601" s="4" t="s">
        <v>21</v>
      </c>
      <c r="H601" s="6">
        <f t="shared" si="9"/>
        <v>7271.75</v>
      </c>
    </row>
    <row r="602" spans="1:8" x14ac:dyDescent="0.2">
      <c r="A602" s="2" t="s">
        <v>662</v>
      </c>
      <c r="B602" s="2" t="s">
        <v>609</v>
      </c>
      <c r="C602" s="2" t="s">
        <v>33</v>
      </c>
      <c r="D602" s="3">
        <v>3027</v>
      </c>
      <c r="E602" s="4" t="s">
        <v>34</v>
      </c>
      <c r="F602" s="5">
        <v>4.33</v>
      </c>
      <c r="G602" s="4" t="s">
        <v>35</v>
      </c>
      <c r="H602" s="6">
        <f t="shared" si="9"/>
        <v>13106.91</v>
      </c>
    </row>
    <row r="603" spans="1:8" x14ac:dyDescent="0.2">
      <c r="A603" s="2" t="s">
        <v>663</v>
      </c>
      <c r="B603" s="2" t="s">
        <v>609</v>
      </c>
      <c r="C603" s="2" t="s">
        <v>50</v>
      </c>
      <c r="D603" s="3">
        <v>3422</v>
      </c>
      <c r="E603" s="4" t="s">
        <v>20</v>
      </c>
      <c r="F603" s="5">
        <v>1.05</v>
      </c>
      <c r="G603" s="4" t="s">
        <v>21</v>
      </c>
      <c r="H603" s="6">
        <f t="shared" si="9"/>
        <v>3593.1000000000004</v>
      </c>
    </row>
    <row r="604" spans="1:8" x14ac:dyDescent="0.2">
      <c r="A604" s="2" t="s">
        <v>664</v>
      </c>
      <c r="B604" s="2" t="s">
        <v>609</v>
      </c>
      <c r="C604" s="2" t="s">
        <v>33</v>
      </c>
      <c r="D604" s="3">
        <v>4899</v>
      </c>
      <c r="E604" s="4" t="s">
        <v>34</v>
      </c>
      <c r="F604" s="5">
        <v>4.6900000000000004</v>
      </c>
      <c r="G604" s="4" t="s">
        <v>35</v>
      </c>
      <c r="H604" s="6">
        <f t="shared" si="9"/>
        <v>22976.31</v>
      </c>
    </row>
    <row r="605" spans="1:8" x14ac:dyDescent="0.2">
      <c r="A605" s="2" t="s">
        <v>665</v>
      </c>
      <c r="B605" s="2" t="s">
        <v>609</v>
      </c>
      <c r="C605" s="2" t="s">
        <v>46</v>
      </c>
      <c r="D605" s="3">
        <v>4741</v>
      </c>
      <c r="E605" s="4" t="s">
        <v>20</v>
      </c>
      <c r="F605" s="5">
        <v>2.46</v>
      </c>
      <c r="G605" s="4" t="s">
        <v>21</v>
      </c>
      <c r="H605" s="6">
        <f t="shared" si="9"/>
        <v>11662.86</v>
      </c>
    </row>
    <row r="606" spans="1:8" x14ac:dyDescent="0.2">
      <c r="A606" s="2" t="s">
        <v>666</v>
      </c>
      <c r="B606" s="2" t="s">
        <v>667</v>
      </c>
      <c r="C606" s="2" t="s">
        <v>37</v>
      </c>
      <c r="D606" s="3">
        <v>4790</v>
      </c>
      <c r="E606" s="4" t="s">
        <v>38</v>
      </c>
      <c r="F606" s="5">
        <v>3.44</v>
      </c>
      <c r="G606" s="4" t="s">
        <v>39</v>
      </c>
      <c r="H606" s="6">
        <f t="shared" si="9"/>
        <v>16477.599999999999</v>
      </c>
    </row>
    <row r="607" spans="1:8" x14ac:dyDescent="0.2">
      <c r="A607" s="2" t="s">
        <v>668</v>
      </c>
      <c r="B607" s="2" t="s">
        <v>667</v>
      </c>
      <c r="C607" s="2" t="s">
        <v>78</v>
      </c>
      <c r="D607" s="3">
        <v>3124</v>
      </c>
      <c r="E607" s="4" t="s">
        <v>38</v>
      </c>
      <c r="F607" s="5">
        <v>1.75</v>
      </c>
      <c r="G607" s="4" t="s">
        <v>39</v>
      </c>
      <c r="H607" s="6">
        <f t="shared" si="9"/>
        <v>5467</v>
      </c>
    </row>
    <row r="608" spans="1:8" x14ac:dyDescent="0.2">
      <c r="A608" s="2" t="s">
        <v>669</v>
      </c>
      <c r="B608" s="2" t="s">
        <v>667</v>
      </c>
      <c r="C608" s="2" t="s">
        <v>42</v>
      </c>
      <c r="D608" s="3">
        <v>268</v>
      </c>
      <c r="E608" s="4" t="s">
        <v>24</v>
      </c>
      <c r="F608" s="5">
        <v>5.22</v>
      </c>
      <c r="G608" s="4" t="s">
        <v>25</v>
      </c>
      <c r="H608" s="6">
        <f t="shared" si="9"/>
        <v>1398.96</v>
      </c>
    </row>
    <row r="609" spans="1:8" x14ac:dyDescent="0.2">
      <c r="A609" s="2" t="s">
        <v>670</v>
      </c>
      <c r="B609" s="2" t="s">
        <v>667</v>
      </c>
      <c r="C609" s="2" t="s">
        <v>50</v>
      </c>
      <c r="D609" s="3">
        <v>1572</v>
      </c>
      <c r="E609" s="4" t="s">
        <v>20</v>
      </c>
      <c r="F609" s="5">
        <v>0.71</v>
      </c>
      <c r="G609" s="4" t="s">
        <v>21</v>
      </c>
      <c r="H609" s="6">
        <f t="shared" si="9"/>
        <v>1116.1199999999999</v>
      </c>
    </row>
    <row r="610" spans="1:8" x14ac:dyDescent="0.2">
      <c r="A610" s="2" t="s">
        <v>671</v>
      </c>
      <c r="B610" s="2" t="s">
        <v>667</v>
      </c>
      <c r="C610" s="2" t="s">
        <v>57</v>
      </c>
      <c r="D610" s="3">
        <v>3440</v>
      </c>
      <c r="E610" s="4" t="s">
        <v>20</v>
      </c>
      <c r="F610" s="5">
        <v>0.66</v>
      </c>
      <c r="G610" s="4" t="s">
        <v>21</v>
      </c>
      <c r="H610" s="6">
        <f t="shared" si="9"/>
        <v>2270.4</v>
      </c>
    </row>
    <row r="611" spans="1:8" x14ac:dyDescent="0.2">
      <c r="A611" s="2" t="s">
        <v>672</v>
      </c>
      <c r="B611" s="2" t="s">
        <v>667</v>
      </c>
      <c r="C611" s="2" t="s">
        <v>44</v>
      </c>
      <c r="D611" s="3">
        <v>3371</v>
      </c>
      <c r="E611" s="4" t="s">
        <v>24</v>
      </c>
      <c r="F611" s="5">
        <v>1.25</v>
      </c>
      <c r="G611" s="4" t="s">
        <v>25</v>
      </c>
      <c r="H611" s="6">
        <f t="shared" si="9"/>
        <v>4213.75</v>
      </c>
    </row>
    <row r="612" spans="1:8" x14ac:dyDescent="0.2">
      <c r="A612" s="2" t="s">
        <v>673</v>
      </c>
      <c r="B612" s="2" t="s">
        <v>667</v>
      </c>
      <c r="C612" s="2" t="s">
        <v>147</v>
      </c>
      <c r="D612" s="3">
        <v>3873</v>
      </c>
      <c r="E612" s="4" t="s">
        <v>53</v>
      </c>
      <c r="F612" s="5">
        <v>14.98</v>
      </c>
      <c r="G612" s="4" t="s">
        <v>54</v>
      </c>
      <c r="H612" s="6">
        <f t="shared" si="9"/>
        <v>58017.54</v>
      </c>
    </row>
    <row r="613" spans="1:8" x14ac:dyDescent="0.2">
      <c r="A613" s="2" t="s">
        <v>674</v>
      </c>
      <c r="B613" s="2" t="s">
        <v>667</v>
      </c>
      <c r="C613" s="2" t="s">
        <v>37</v>
      </c>
      <c r="D613" s="3">
        <v>1141</v>
      </c>
      <c r="E613" s="4" t="s">
        <v>38</v>
      </c>
      <c r="F613" s="5">
        <v>3.56</v>
      </c>
      <c r="G613" s="4" t="s">
        <v>39</v>
      </c>
      <c r="H613" s="6">
        <f t="shared" si="9"/>
        <v>4061.96</v>
      </c>
    </row>
    <row r="614" spans="1:8" x14ac:dyDescent="0.2">
      <c r="A614" s="2" t="s">
        <v>675</v>
      </c>
      <c r="B614" s="2" t="s">
        <v>667</v>
      </c>
      <c r="C614" s="2" t="s">
        <v>29</v>
      </c>
      <c r="D614" s="3">
        <v>2672</v>
      </c>
      <c r="E614" s="4" t="s">
        <v>30</v>
      </c>
      <c r="F614" s="5">
        <v>2.2000000000000002</v>
      </c>
      <c r="G614" s="4" t="s">
        <v>31</v>
      </c>
      <c r="H614" s="6">
        <f t="shared" si="9"/>
        <v>5878.4000000000005</v>
      </c>
    </row>
    <row r="615" spans="1:8" x14ac:dyDescent="0.2">
      <c r="A615" s="2" t="s">
        <v>676</v>
      </c>
      <c r="B615" s="2" t="s">
        <v>667</v>
      </c>
      <c r="C615" s="2" t="s">
        <v>48</v>
      </c>
      <c r="D615" s="3">
        <v>4314</v>
      </c>
      <c r="E615" s="4" t="s">
        <v>24</v>
      </c>
      <c r="F615" s="5">
        <v>0.11</v>
      </c>
      <c r="G615" s="4" t="s">
        <v>25</v>
      </c>
      <c r="H615" s="6">
        <f t="shared" si="9"/>
        <v>474.54</v>
      </c>
    </row>
    <row r="616" spans="1:8" x14ac:dyDescent="0.2">
      <c r="A616" s="2" t="s">
        <v>677</v>
      </c>
      <c r="B616" s="2" t="s">
        <v>667</v>
      </c>
      <c r="C616" s="2" t="s">
        <v>118</v>
      </c>
      <c r="D616" s="3">
        <v>3775</v>
      </c>
      <c r="E616" s="4" t="s">
        <v>24</v>
      </c>
      <c r="F616" s="5">
        <v>1.04</v>
      </c>
      <c r="G616" s="4" t="s">
        <v>25</v>
      </c>
      <c r="H616" s="6">
        <f t="shared" si="9"/>
        <v>3926</v>
      </c>
    </row>
    <row r="617" spans="1:8" x14ac:dyDescent="0.2">
      <c r="A617" s="2" t="s">
        <v>678</v>
      </c>
      <c r="B617" s="2" t="s">
        <v>667</v>
      </c>
      <c r="C617" s="2" t="s">
        <v>57</v>
      </c>
      <c r="D617" s="3">
        <v>4485</v>
      </c>
      <c r="E617" s="4" t="s">
        <v>20</v>
      </c>
      <c r="F617" s="5">
        <v>0.74</v>
      </c>
      <c r="G617" s="4" t="s">
        <v>21</v>
      </c>
      <c r="H617" s="6">
        <f t="shared" si="9"/>
        <v>3318.9</v>
      </c>
    </row>
    <row r="618" spans="1:8" x14ac:dyDescent="0.2">
      <c r="A618" s="2" t="s">
        <v>679</v>
      </c>
      <c r="B618" s="2" t="s">
        <v>667</v>
      </c>
      <c r="C618" s="2" t="s">
        <v>86</v>
      </c>
      <c r="D618" s="3">
        <v>3976</v>
      </c>
      <c r="E618" s="4" t="s">
        <v>72</v>
      </c>
      <c r="F618" s="5">
        <v>8069.17</v>
      </c>
      <c r="G618" s="4" t="s">
        <v>73</v>
      </c>
      <c r="H618" s="6">
        <f t="shared" si="9"/>
        <v>32083019.920000002</v>
      </c>
    </row>
    <row r="619" spans="1:8" x14ac:dyDescent="0.2">
      <c r="A619" s="2" t="s">
        <v>680</v>
      </c>
      <c r="B619" s="2" t="s">
        <v>667</v>
      </c>
      <c r="C619" s="2" t="s">
        <v>42</v>
      </c>
      <c r="D619" s="3">
        <v>2295</v>
      </c>
      <c r="E619" s="4" t="s">
        <v>24</v>
      </c>
      <c r="F619" s="5">
        <v>5.17</v>
      </c>
      <c r="G619" s="4" t="s">
        <v>25</v>
      </c>
      <c r="H619" s="6">
        <f t="shared" si="9"/>
        <v>11865.15</v>
      </c>
    </row>
    <row r="620" spans="1:8" x14ac:dyDescent="0.2">
      <c r="A620" s="2" t="s">
        <v>681</v>
      </c>
      <c r="B620" s="2" t="s">
        <v>667</v>
      </c>
      <c r="C620" s="2" t="s">
        <v>42</v>
      </c>
      <c r="D620" s="3">
        <v>2448</v>
      </c>
      <c r="E620" s="4" t="s">
        <v>24</v>
      </c>
      <c r="F620" s="5">
        <v>5.81</v>
      </c>
      <c r="G620" s="4" t="s">
        <v>25</v>
      </c>
      <c r="H620" s="6">
        <f t="shared" si="9"/>
        <v>14222.88</v>
      </c>
    </row>
    <row r="621" spans="1:8" x14ac:dyDescent="0.2">
      <c r="A621" s="2" t="s">
        <v>682</v>
      </c>
      <c r="B621" s="2" t="s">
        <v>667</v>
      </c>
      <c r="C621" s="2" t="s">
        <v>44</v>
      </c>
      <c r="D621" s="3">
        <v>4015</v>
      </c>
      <c r="E621" s="4" t="s">
        <v>24</v>
      </c>
      <c r="F621" s="5">
        <v>1.1200000000000001</v>
      </c>
      <c r="G621" s="4" t="s">
        <v>25</v>
      </c>
      <c r="H621" s="6">
        <f t="shared" si="9"/>
        <v>4496.8</v>
      </c>
    </row>
    <row r="622" spans="1:8" x14ac:dyDescent="0.2">
      <c r="A622" s="2" t="s">
        <v>683</v>
      </c>
      <c r="B622" s="2" t="s">
        <v>667</v>
      </c>
      <c r="C622" s="2" t="s">
        <v>19</v>
      </c>
      <c r="D622" s="3">
        <v>4601</v>
      </c>
      <c r="E622" s="4" t="s">
        <v>20</v>
      </c>
      <c r="F622" s="5">
        <v>1.66</v>
      </c>
      <c r="G622" s="4" t="s">
        <v>21</v>
      </c>
      <c r="H622" s="6">
        <f t="shared" si="9"/>
        <v>7637.66</v>
      </c>
    </row>
    <row r="623" spans="1:8" x14ac:dyDescent="0.2">
      <c r="A623" s="2" t="s">
        <v>684</v>
      </c>
      <c r="B623" s="2" t="s">
        <v>667</v>
      </c>
      <c r="C623" s="2" t="s">
        <v>86</v>
      </c>
      <c r="D623" s="3">
        <v>2367</v>
      </c>
      <c r="E623" s="4" t="s">
        <v>72</v>
      </c>
      <c r="F623" s="5">
        <v>7970.62</v>
      </c>
      <c r="G623" s="4" t="s">
        <v>73</v>
      </c>
      <c r="H623" s="6">
        <f t="shared" si="9"/>
        <v>18866457.539999999</v>
      </c>
    </row>
    <row r="624" spans="1:8" x14ac:dyDescent="0.2">
      <c r="A624" s="2" t="s">
        <v>685</v>
      </c>
      <c r="B624" s="2" t="s">
        <v>667</v>
      </c>
      <c r="C624" s="2" t="s">
        <v>29</v>
      </c>
      <c r="D624" s="3">
        <v>3120</v>
      </c>
      <c r="E624" s="4" t="s">
        <v>30</v>
      </c>
      <c r="F624" s="5">
        <v>2.0699999999999998</v>
      </c>
      <c r="G624" s="4" t="s">
        <v>31</v>
      </c>
      <c r="H624" s="6">
        <f t="shared" si="9"/>
        <v>6458.4</v>
      </c>
    </row>
    <row r="625" spans="1:8" x14ac:dyDescent="0.2">
      <c r="A625" s="2" t="s">
        <v>686</v>
      </c>
      <c r="B625" s="2" t="s">
        <v>667</v>
      </c>
      <c r="C625" s="2" t="s">
        <v>67</v>
      </c>
      <c r="D625" s="3">
        <v>2837</v>
      </c>
      <c r="E625" s="4" t="s">
        <v>24</v>
      </c>
      <c r="F625" s="5">
        <v>0.59</v>
      </c>
      <c r="G625" s="4" t="s">
        <v>25</v>
      </c>
      <c r="H625" s="6">
        <f t="shared" si="9"/>
        <v>1673.83</v>
      </c>
    </row>
    <row r="626" spans="1:8" x14ac:dyDescent="0.2">
      <c r="A626" s="2" t="s">
        <v>687</v>
      </c>
      <c r="B626" s="2" t="s">
        <v>667</v>
      </c>
      <c r="C626" s="2" t="s">
        <v>89</v>
      </c>
      <c r="D626" s="3">
        <v>2389</v>
      </c>
      <c r="E626" s="4" t="s">
        <v>30</v>
      </c>
      <c r="F626" s="5">
        <v>1.85</v>
      </c>
      <c r="G626" s="4" t="s">
        <v>31</v>
      </c>
      <c r="H626" s="6">
        <f t="shared" si="9"/>
        <v>4419.6500000000005</v>
      </c>
    </row>
    <row r="627" spans="1:8" x14ac:dyDescent="0.2">
      <c r="A627" s="2" t="s">
        <v>688</v>
      </c>
      <c r="B627" s="2" t="s">
        <v>667</v>
      </c>
      <c r="C627" s="2" t="s">
        <v>27</v>
      </c>
      <c r="D627" s="3">
        <v>2847</v>
      </c>
      <c r="E627" s="4" t="s">
        <v>20</v>
      </c>
      <c r="F627" s="5">
        <v>2.31</v>
      </c>
      <c r="G627" s="4" t="s">
        <v>21</v>
      </c>
      <c r="H627" s="6">
        <f t="shared" si="9"/>
        <v>6576.57</v>
      </c>
    </row>
    <row r="628" spans="1:8" x14ac:dyDescent="0.2">
      <c r="A628" s="2" t="s">
        <v>689</v>
      </c>
      <c r="B628" s="2" t="s">
        <v>667</v>
      </c>
      <c r="C628" s="2" t="s">
        <v>86</v>
      </c>
      <c r="D628" s="3">
        <v>3934</v>
      </c>
      <c r="E628" s="4" t="s">
        <v>72</v>
      </c>
      <c r="F628" s="5">
        <v>8099.58</v>
      </c>
      <c r="G628" s="4" t="s">
        <v>73</v>
      </c>
      <c r="H628" s="6">
        <f t="shared" si="9"/>
        <v>31863747.719999999</v>
      </c>
    </row>
    <row r="629" spans="1:8" x14ac:dyDescent="0.2">
      <c r="A629" s="2" t="s">
        <v>690</v>
      </c>
      <c r="B629" s="2" t="s">
        <v>667</v>
      </c>
      <c r="C629" s="2" t="s">
        <v>29</v>
      </c>
      <c r="D629" s="3">
        <v>2231</v>
      </c>
      <c r="E629" s="4" t="s">
        <v>30</v>
      </c>
      <c r="F629" s="5">
        <v>2.12</v>
      </c>
      <c r="G629" s="4" t="s">
        <v>31</v>
      </c>
      <c r="H629" s="6">
        <f t="shared" si="9"/>
        <v>4729.72</v>
      </c>
    </row>
    <row r="630" spans="1:8" x14ac:dyDescent="0.2">
      <c r="A630" s="2" t="s">
        <v>691</v>
      </c>
      <c r="B630" s="2" t="s">
        <v>667</v>
      </c>
      <c r="C630" s="2" t="s">
        <v>86</v>
      </c>
      <c r="D630" s="3">
        <v>1134</v>
      </c>
      <c r="E630" s="4" t="s">
        <v>72</v>
      </c>
      <c r="F630" s="5">
        <v>7952.92</v>
      </c>
      <c r="G630" s="4" t="s">
        <v>73</v>
      </c>
      <c r="H630" s="6">
        <f t="shared" si="9"/>
        <v>9018611.2799999993</v>
      </c>
    </row>
    <row r="631" spans="1:8" x14ac:dyDescent="0.2">
      <c r="A631" s="2" t="s">
        <v>692</v>
      </c>
      <c r="B631" s="2" t="s">
        <v>667</v>
      </c>
      <c r="C631" s="2" t="s">
        <v>46</v>
      </c>
      <c r="D631" s="3">
        <v>1970</v>
      </c>
      <c r="E631" s="4" t="s">
        <v>20</v>
      </c>
      <c r="F631" s="5">
        <v>2.48</v>
      </c>
      <c r="G631" s="4" t="s">
        <v>21</v>
      </c>
      <c r="H631" s="6">
        <f t="shared" si="9"/>
        <v>4885.6000000000004</v>
      </c>
    </row>
    <row r="632" spans="1:8" x14ac:dyDescent="0.2">
      <c r="A632" s="2" t="s">
        <v>693</v>
      </c>
      <c r="B632" s="2" t="s">
        <v>667</v>
      </c>
      <c r="C632" s="2" t="s">
        <v>78</v>
      </c>
      <c r="D632" s="3">
        <v>1858</v>
      </c>
      <c r="E632" s="4" t="s">
        <v>38</v>
      </c>
      <c r="F632" s="5">
        <v>2.58</v>
      </c>
      <c r="G632" s="4" t="s">
        <v>39</v>
      </c>
      <c r="H632" s="6">
        <f t="shared" si="9"/>
        <v>4793.6400000000003</v>
      </c>
    </row>
    <row r="633" spans="1:8" x14ac:dyDescent="0.2">
      <c r="A633" s="2" t="s">
        <v>694</v>
      </c>
      <c r="B633" s="2" t="s">
        <v>667</v>
      </c>
      <c r="C633" s="2" t="s">
        <v>37</v>
      </c>
      <c r="D633" s="3">
        <v>830</v>
      </c>
      <c r="E633" s="4" t="s">
        <v>38</v>
      </c>
      <c r="F633" s="5">
        <v>3.24</v>
      </c>
      <c r="G633" s="4" t="s">
        <v>39</v>
      </c>
      <c r="H633" s="6">
        <f t="shared" si="9"/>
        <v>2689.2000000000003</v>
      </c>
    </row>
    <row r="634" spans="1:8" x14ac:dyDescent="0.2">
      <c r="A634" s="2" t="s">
        <v>695</v>
      </c>
      <c r="B634" s="2" t="s">
        <v>667</v>
      </c>
      <c r="C634" s="2" t="s">
        <v>48</v>
      </c>
      <c r="D634" s="3">
        <v>833</v>
      </c>
      <c r="E634" s="4" t="s">
        <v>24</v>
      </c>
      <c r="F634" s="5">
        <v>0.15</v>
      </c>
      <c r="G634" s="4" t="s">
        <v>25</v>
      </c>
      <c r="H634" s="6">
        <f t="shared" si="9"/>
        <v>124.94999999999999</v>
      </c>
    </row>
    <row r="635" spans="1:8" x14ac:dyDescent="0.2">
      <c r="A635" s="2" t="s">
        <v>696</v>
      </c>
      <c r="B635" s="2" t="s">
        <v>667</v>
      </c>
      <c r="C635" s="2" t="s">
        <v>89</v>
      </c>
      <c r="D635" s="3">
        <v>52</v>
      </c>
      <c r="E635" s="4" t="s">
        <v>30</v>
      </c>
      <c r="F635" s="5">
        <v>2.96</v>
      </c>
      <c r="G635" s="4" t="s">
        <v>31</v>
      </c>
      <c r="H635" s="6">
        <f t="shared" si="9"/>
        <v>153.91999999999999</v>
      </c>
    </row>
    <row r="636" spans="1:8" x14ac:dyDescent="0.2">
      <c r="A636" s="2" t="s">
        <v>697</v>
      </c>
      <c r="B636" s="2" t="s">
        <v>667</v>
      </c>
      <c r="C636" s="2" t="s">
        <v>118</v>
      </c>
      <c r="D636" s="3">
        <v>3343</v>
      </c>
      <c r="E636" s="4" t="s">
        <v>24</v>
      </c>
      <c r="F636" s="5">
        <v>0.86</v>
      </c>
      <c r="G636" s="4" t="s">
        <v>25</v>
      </c>
      <c r="H636" s="6">
        <f t="shared" si="9"/>
        <v>2874.98</v>
      </c>
    </row>
    <row r="637" spans="1:8" x14ac:dyDescent="0.2">
      <c r="A637" s="2" t="s">
        <v>698</v>
      </c>
      <c r="B637" s="2" t="s">
        <v>667</v>
      </c>
      <c r="C637" s="2" t="s">
        <v>48</v>
      </c>
      <c r="D637" s="3">
        <v>3921</v>
      </c>
      <c r="E637" s="4" t="s">
        <v>24</v>
      </c>
      <c r="F637" s="5">
        <v>0.15</v>
      </c>
      <c r="G637" s="4" t="s">
        <v>25</v>
      </c>
      <c r="H637" s="6">
        <f t="shared" si="9"/>
        <v>588.15</v>
      </c>
    </row>
    <row r="638" spans="1:8" x14ac:dyDescent="0.2">
      <c r="A638" s="2" t="s">
        <v>699</v>
      </c>
      <c r="B638" s="2" t="s">
        <v>667</v>
      </c>
      <c r="C638" s="2" t="s">
        <v>71</v>
      </c>
      <c r="D638" s="3">
        <v>2641</v>
      </c>
      <c r="E638" s="4" t="s">
        <v>72</v>
      </c>
      <c r="F638" s="5">
        <v>2571.25</v>
      </c>
      <c r="G638" s="4" t="s">
        <v>73</v>
      </c>
      <c r="H638" s="6">
        <f t="shared" si="9"/>
        <v>6790671.25</v>
      </c>
    </row>
    <row r="639" spans="1:8" x14ac:dyDescent="0.2">
      <c r="A639" s="2" t="s">
        <v>700</v>
      </c>
      <c r="B639" s="2" t="s">
        <v>667</v>
      </c>
      <c r="C639" s="2" t="s">
        <v>37</v>
      </c>
      <c r="D639" s="3">
        <v>742</v>
      </c>
      <c r="E639" s="4" t="s">
        <v>38</v>
      </c>
      <c r="F639" s="5">
        <v>3.96</v>
      </c>
      <c r="G639" s="4" t="s">
        <v>39</v>
      </c>
      <c r="H639" s="6">
        <f t="shared" si="9"/>
        <v>2938.32</v>
      </c>
    </row>
    <row r="640" spans="1:8" x14ac:dyDescent="0.2">
      <c r="A640" s="2" t="s">
        <v>701</v>
      </c>
      <c r="B640" s="2" t="s">
        <v>667</v>
      </c>
      <c r="C640" s="2" t="s">
        <v>42</v>
      </c>
      <c r="D640" s="3">
        <v>4393</v>
      </c>
      <c r="E640" s="4" t="s">
        <v>24</v>
      </c>
      <c r="F640" s="5">
        <v>5.72</v>
      </c>
      <c r="G640" s="4" t="s">
        <v>25</v>
      </c>
      <c r="H640" s="6">
        <f t="shared" si="9"/>
        <v>25127.96</v>
      </c>
    </row>
    <row r="641" spans="1:8" x14ac:dyDescent="0.2">
      <c r="A641" s="2" t="s">
        <v>702</v>
      </c>
      <c r="B641" s="2" t="s">
        <v>667</v>
      </c>
      <c r="C641" s="2" t="s">
        <v>37</v>
      </c>
      <c r="D641" s="3">
        <v>1444</v>
      </c>
      <c r="E641" s="4" t="s">
        <v>38</v>
      </c>
      <c r="F641" s="5">
        <v>3.25</v>
      </c>
      <c r="G641" s="4" t="s">
        <v>39</v>
      </c>
      <c r="H641" s="6">
        <f t="shared" si="9"/>
        <v>4693</v>
      </c>
    </row>
    <row r="642" spans="1:8" x14ac:dyDescent="0.2">
      <c r="A642" s="2" t="s">
        <v>703</v>
      </c>
      <c r="B642" s="2" t="s">
        <v>667</v>
      </c>
      <c r="C642" s="2" t="s">
        <v>118</v>
      </c>
      <c r="D642" s="3">
        <v>307</v>
      </c>
      <c r="E642" s="4" t="s">
        <v>24</v>
      </c>
      <c r="F642" s="5">
        <v>1.1000000000000001</v>
      </c>
      <c r="G642" s="4" t="s">
        <v>25</v>
      </c>
      <c r="H642" s="6">
        <f t="shared" ref="H642:H705" si="10">D642*F642</f>
        <v>337.70000000000005</v>
      </c>
    </row>
    <row r="643" spans="1:8" x14ac:dyDescent="0.2">
      <c r="A643" s="2" t="s">
        <v>704</v>
      </c>
      <c r="B643" s="2" t="s">
        <v>667</v>
      </c>
      <c r="C643" s="2" t="s">
        <v>67</v>
      </c>
      <c r="D643" s="3">
        <v>4068</v>
      </c>
      <c r="E643" s="4" t="s">
        <v>24</v>
      </c>
      <c r="F643" s="5">
        <v>0.36</v>
      </c>
      <c r="G643" s="4" t="s">
        <v>25</v>
      </c>
      <c r="H643" s="6">
        <f t="shared" si="10"/>
        <v>1464.48</v>
      </c>
    </row>
    <row r="644" spans="1:8" x14ac:dyDescent="0.2">
      <c r="A644" s="2" t="s">
        <v>705</v>
      </c>
      <c r="B644" s="2" t="s">
        <v>667</v>
      </c>
      <c r="C644" s="2" t="s">
        <v>71</v>
      </c>
      <c r="D644" s="3">
        <v>316</v>
      </c>
      <c r="E644" s="4" t="s">
        <v>72</v>
      </c>
      <c r="F644" s="5">
        <v>2405.56</v>
      </c>
      <c r="G644" s="4" t="s">
        <v>73</v>
      </c>
      <c r="H644" s="6">
        <f t="shared" si="10"/>
        <v>760156.96</v>
      </c>
    </row>
    <row r="645" spans="1:8" x14ac:dyDescent="0.2">
      <c r="A645" s="2" t="s">
        <v>706</v>
      </c>
      <c r="B645" s="2" t="s">
        <v>667</v>
      </c>
      <c r="C645" s="2" t="s">
        <v>46</v>
      </c>
      <c r="D645" s="3">
        <v>4947</v>
      </c>
      <c r="E645" s="4" t="s">
        <v>20</v>
      </c>
      <c r="F645" s="5">
        <v>2.21</v>
      </c>
      <c r="G645" s="4" t="s">
        <v>21</v>
      </c>
      <c r="H645" s="6">
        <f t="shared" si="10"/>
        <v>10932.869999999999</v>
      </c>
    </row>
    <row r="646" spans="1:8" x14ac:dyDescent="0.2">
      <c r="A646" s="2" t="s">
        <v>707</v>
      </c>
      <c r="B646" s="2" t="s">
        <v>667</v>
      </c>
      <c r="C646" s="2" t="s">
        <v>57</v>
      </c>
      <c r="D646" s="3">
        <v>2341</v>
      </c>
      <c r="E646" s="4" t="s">
        <v>20</v>
      </c>
      <c r="F646" s="5">
        <v>0.78</v>
      </c>
      <c r="G646" s="4" t="s">
        <v>21</v>
      </c>
      <c r="H646" s="6">
        <f t="shared" si="10"/>
        <v>1825.98</v>
      </c>
    </row>
    <row r="647" spans="1:8" x14ac:dyDescent="0.2">
      <c r="A647" s="2" t="s">
        <v>708</v>
      </c>
      <c r="B647" s="2" t="s">
        <v>667</v>
      </c>
      <c r="C647" s="2" t="s">
        <v>29</v>
      </c>
      <c r="D647" s="3">
        <v>4305</v>
      </c>
      <c r="E647" s="4" t="s">
        <v>30</v>
      </c>
      <c r="F647" s="5">
        <v>1.59</v>
      </c>
      <c r="G647" s="4" t="s">
        <v>31</v>
      </c>
      <c r="H647" s="6">
        <f t="shared" si="10"/>
        <v>6844.9500000000007</v>
      </c>
    </row>
    <row r="648" spans="1:8" x14ac:dyDescent="0.2">
      <c r="A648" s="2" t="s">
        <v>709</v>
      </c>
      <c r="B648" s="2" t="s">
        <v>667</v>
      </c>
      <c r="C648" s="2" t="s">
        <v>89</v>
      </c>
      <c r="D648" s="3">
        <v>4140</v>
      </c>
      <c r="E648" s="4" t="s">
        <v>30</v>
      </c>
      <c r="F648" s="5">
        <v>2.36</v>
      </c>
      <c r="G648" s="4" t="s">
        <v>31</v>
      </c>
      <c r="H648" s="6">
        <f t="shared" si="10"/>
        <v>9770.4</v>
      </c>
    </row>
    <row r="649" spans="1:8" x14ac:dyDescent="0.2">
      <c r="A649" s="2" t="s">
        <v>710</v>
      </c>
      <c r="B649" s="2" t="s">
        <v>667</v>
      </c>
      <c r="C649" s="2" t="s">
        <v>44</v>
      </c>
      <c r="D649" s="3">
        <v>932</v>
      </c>
      <c r="E649" s="4" t="s">
        <v>24</v>
      </c>
      <c r="F649" s="5">
        <v>1.1299999999999999</v>
      </c>
      <c r="G649" s="4" t="s">
        <v>25</v>
      </c>
      <c r="H649" s="6">
        <f t="shared" si="10"/>
        <v>1053.1599999999999</v>
      </c>
    </row>
    <row r="650" spans="1:8" x14ac:dyDescent="0.2">
      <c r="A650" s="2" t="s">
        <v>711</v>
      </c>
      <c r="B650" s="2" t="s">
        <v>712</v>
      </c>
      <c r="C650" s="2" t="s">
        <v>23</v>
      </c>
      <c r="D650" s="3">
        <v>2117</v>
      </c>
      <c r="E650" s="4" t="s">
        <v>24</v>
      </c>
      <c r="F650" s="5">
        <v>16.309999999999999</v>
      </c>
      <c r="G650" s="4" t="s">
        <v>25</v>
      </c>
      <c r="H650" s="6">
        <f t="shared" si="10"/>
        <v>34528.269999999997</v>
      </c>
    </row>
    <row r="651" spans="1:8" x14ac:dyDescent="0.2">
      <c r="A651" s="2" t="s">
        <v>713</v>
      </c>
      <c r="B651" s="2" t="s">
        <v>712</v>
      </c>
      <c r="C651" s="2" t="s">
        <v>33</v>
      </c>
      <c r="D651" s="3">
        <v>2771</v>
      </c>
      <c r="E651" s="4" t="s">
        <v>34</v>
      </c>
      <c r="F651" s="5">
        <v>5.48</v>
      </c>
      <c r="G651" s="4" t="s">
        <v>35</v>
      </c>
      <c r="H651" s="6">
        <f t="shared" si="10"/>
        <v>15185.080000000002</v>
      </c>
    </row>
    <row r="652" spans="1:8" x14ac:dyDescent="0.2">
      <c r="A652" s="2" t="s">
        <v>714</v>
      </c>
      <c r="B652" s="2" t="s">
        <v>712</v>
      </c>
      <c r="C652" s="2" t="s">
        <v>46</v>
      </c>
      <c r="D652" s="3">
        <v>1592</v>
      </c>
      <c r="E652" s="4" t="s">
        <v>20</v>
      </c>
      <c r="F652" s="5">
        <v>2.35</v>
      </c>
      <c r="G652" s="4" t="s">
        <v>21</v>
      </c>
      <c r="H652" s="6">
        <f t="shared" si="10"/>
        <v>3741.2000000000003</v>
      </c>
    </row>
    <row r="653" spans="1:8" x14ac:dyDescent="0.2">
      <c r="A653" s="2" t="s">
        <v>715</v>
      </c>
      <c r="B653" s="2" t="s">
        <v>712</v>
      </c>
      <c r="C653" s="2" t="s">
        <v>67</v>
      </c>
      <c r="D653" s="3">
        <v>3513</v>
      </c>
      <c r="E653" s="4" t="s">
        <v>24</v>
      </c>
      <c r="F653" s="5">
        <v>0.45</v>
      </c>
      <c r="G653" s="4" t="s">
        <v>25</v>
      </c>
      <c r="H653" s="6">
        <f t="shared" si="10"/>
        <v>1580.8500000000001</v>
      </c>
    </row>
    <row r="654" spans="1:8" x14ac:dyDescent="0.2">
      <c r="A654" s="2" t="s">
        <v>716</v>
      </c>
      <c r="B654" s="2" t="s">
        <v>712</v>
      </c>
      <c r="C654" s="2" t="s">
        <v>27</v>
      </c>
      <c r="D654" s="3">
        <v>3293</v>
      </c>
      <c r="E654" s="4" t="s">
        <v>20</v>
      </c>
      <c r="F654" s="5">
        <v>2</v>
      </c>
      <c r="G654" s="4" t="s">
        <v>21</v>
      </c>
      <c r="H654" s="6">
        <f t="shared" si="10"/>
        <v>6586</v>
      </c>
    </row>
    <row r="655" spans="1:8" x14ac:dyDescent="0.2">
      <c r="A655" s="2" t="s">
        <v>717</v>
      </c>
      <c r="B655" s="2" t="s">
        <v>712</v>
      </c>
      <c r="C655" s="2" t="s">
        <v>118</v>
      </c>
      <c r="D655" s="3">
        <v>1161</v>
      </c>
      <c r="E655" s="4" t="s">
        <v>24</v>
      </c>
      <c r="F655" s="5">
        <v>0.73</v>
      </c>
      <c r="G655" s="4" t="s">
        <v>25</v>
      </c>
      <c r="H655" s="6">
        <f t="shared" si="10"/>
        <v>847.53</v>
      </c>
    </row>
    <row r="656" spans="1:8" x14ac:dyDescent="0.2">
      <c r="A656" s="2" t="s">
        <v>718</v>
      </c>
      <c r="B656" s="2" t="s">
        <v>712</v>
      </c>
      <c r="C656" s="2" t="s">
        <v>42</v>
      </c>
      <c r="D656" s="3">
        <v>65</v>
      </c>
      <c r="E656" s="4" t="s">
        <v>24</v>
      </c>
      <c r="F656" s="5">
        <v>4.28</v>
      </c>
      <c r="G656" s="4" t="s">
        <v>25</v>
      </c>
      <c r="H656" s="6">
        <f t="shared" si="10"/>
        <v>278.2</v>
      </c>
    </row>
    <row r="657" spans="1:8" x14ac:dyDescent="0.2">
      <c r="A657" s="2" t="s">
        <v>719</v>
      </c>
      <c r="B657" s="2" t="s">
        <v>712</v>
      </c>
      <c r="C657" s="2" t="s">
        <v>42</v>
      </c>
      <c r="D657" s="3">
        <v>3669</v>
      </c>
      <c r="E657" s="4" t="s">
        <v>24</v>
      </c>
      <c r="F657" s="5">
        <v>5.76</v>
      </c>
      <c r="G657" s="4" t="s">
        <v>25</v>
      </c>
      <c r="H657" s="6">
        <f t="shared" si="10"/>
        <v>21133.439999999999</v>
      </c>
    </row>
    <row r="658" spans="1:8" x14ac:dyDescent="0.2">
      <c r="A658" s="2" t="s">
        <v>720</v>
      </c>
      <c r="B658" s="2" t="s">
        <v>712</v>
      </c>
      <c r="C658" s="2" t="s">
        <v>57</v>
      </c>
      <c r="D658" s="3">
        <v>2483</v>
      </c>
      <c r="E658" s="4" t="s">
        <v>20</v>
      </c>
      <c r="F658" s="5">
        <v>0.83</v>
      </c>
      <c r="G658" s="4" t="s">
        <v>21</v>
      </c>
      <c r="H658" s="6">
        <f t="shared" si="10"/>
        <v>2060.89</v>
      </c>
    </row>
    <row r="659" spans="1:8" x14ac:dyDescent="0.2">
      <c r="A659" s="2" t="s">
        <v>721</v>
      </c>
      <c r="B659" s="2" t="s">
        <v>712</v>
      </c>
      <c r="C659" s="2" t="s">
        <v>46</v>
      </c>
      <c r="D659" s="3">
        <v>103</v>
      </c>
      <c r="E659" s="4" t="s">
        <v>20</v>
      </c>
      <c r="F659" s="5">
        <v>2.52</v>
      </c>
      <c r="G659" s="4" t="s">
        <v>21</v>
      </c>
      <c r="H659" s="6">
        <f t="shared" si="10"/>
        <v>259.56</v>
      </c>
    </row>
    <row r="660" spans="1:8" x14ac:dyDescent="0.2">
      <c r="A660" s="2" t="s">
        <v>722</v>
      </c>
      <c r="B660" s="2" t="s">
        <v>712</v>
      </c>
      <c r="C660" s="2" t="s">
        <v>19</v>
      </c>
      <c r="D660" s="3">
        <v>1945</v>
      </c>
      <c r="E660" s="4" t="s">
        <v>20</v>
      </c>
      <c r="F660" s="5">
        <v>1.1399999999999999</v>
      </c>
      <c r="G660" s="4" t="s">
        <v>21</v>
      </c>
      <c r="H660" s="6">
        <f t="shared" si="10"/>
        <v>2217.2999999999997</v>
      </c>
    </row>
    <row r="661" spans="1:8" x14ac:dyDescent="0.2">
      <c r="A661" s="2" t="s">
        <v>723</v>
      </c>
      <c r="B661" s="2" t="s">
        <v>712</v>
      </c>
      <c r="C661" s="2" t="s">
        <v>50</v>
      </c>
      <c r="D661" s="3">
        <v>3822</v>
      </c>
      <c r="E661" s="4" t="s">
        <v>20</v>
      </c>
      <c r="F661" s="5">
        <v>0.88</v>
      </c>
      <c r="G661" s="4" t="s">
        <v>21</v>
      </c>
      <c r="H661" s="6">
        <f t="shared" si="10"/>
        <v>3363.36</v>
      </c>
    </row>
    <row r="662" spans="1:8" x14ac:dyDescent="0.2">
      <c r="A662" s="2" t="s">
        <v>724</v>
      </c>
      <c r="B662" s="2" t="s">
        <v>712</v>
      </c>
      <c r="C662" s="2" t="s">
        <v>67</v>
      </c>
      <c r="D662" s="3">
        <v>4126</v>
      </c>
      <c r="E662" s="4" t="s">
        <v>24</v>
      </c>
      <c r="F662" s="5">
        <v>0.57999999999999996</v>
      </c>
      <c r="G662" s="4" t="s">
        <v>25</v>
      </c>
      <c r="H662" s="6">
        <f t="shared" si="10"/>
        <v>2393.08</v>
      </c>
    </row>
    <row r="663" spans="1:8" x14ac:dyDescent="0.2">
      <c r="A663" s="2" t="s">
        <v>725</v>
      </c>
      <c r="B663" s="2" t="s">
        <v>712</v>
      </c>
      <c r="C663" s="2" t="s">
        <v>71</v>
      </c>
      <c r="D663" s="3">
        <v>971</v>
      </c>
      <c r="E663" s="4" t="s">
        <v>72</v>
      </c>
      <c r="F663" s="5">
        <v>2783.23</v>
      </c>
      <c r="G663" s="4" t="s">
        <v>73</v>
      </c>
      <c r="H663" s="6">
        <f t="shared" si="10"/>
        <v>2702516.33</v>
      </c>
    </row>
    <row r="664" spans="1:8" x14ac:dyDescent="0.2">
      <c r="A664" s="2" t="s">
        <v>726</v>
      </c>
      <c r="B664" s="2" t="s">
        <v>712</v>
      </c>
      <c r="C664" s="2" t="s">
        <v>71</v>
      </c>
      <c r="D664" s="3">
        <v>3020</v>
      </c>
      <c r="E664" s="4" t="s">
        <v>72</v>
      </c>
      <c r="F664" s="5">
        <v>2768.78</v>
      </c>
      <c r="G664" s="4" t="s">
        <v>73</v>
      </c>
      <c r="H664" s="6">
        <f t="shared" si="10"/>
        <v>8361715.6000000006</v>
      </c>
    </row>
    <row r="665" spans="1:8" x14ac:dyDescent="0.2">
      <c r="A665" s="2" t="s">
        <v>727</v>
      </c>
      <c r="B665" s="2" t="s">
        <v>712</v>
      </c>
      <c r="C665" s="2" t="s">
        <v>42</v>
      </c>
      <c r="D665" s="3">
        <v>1104</v>
      </c>
      <c r="E665" s="4" t="s">
        <v>24</v>
      </c>
      <c r="F665" s="5">
        <v>4.93</v>
      </c>
      <c r="G665" s="4" t="s">
        <v>25</v>
      </c>
      <c r="H665" s="6">
        <f t="shared" si="10"/>
        <v>5442.7199999999993</v>
      </c>
    </row>
    <row r="666" spans="1:8" x14ac:dyDescent="0.2">
      <c r="A666" s="2" t="s">
        <v>728</v>
      </c>
      <c r="B666" s="2" t="s">
        <v>712</v>
      </c>
      <c r="C666" s="2" t="s">
        <v>23</v>
      </c>
      <c r="D666" s="3">
        <v>4972</v>
      </c>
      <c r="E666" s="4" t="s">
        <v>24</v>
      </c>
      <c r="F666" s="5">
        <v>14.24</v>
      </c>
      <c r="G666" s="4" t="s">
        <v>25</v>
      </c>
      <c r="H666" s="6">
        <f t="shared" si="10"/>
        <v>70801.279999999999</v>
      </c>
    </row>
    <row r="667" spans="1:8" x14ac:dyDescent="0.2">
      <c r="A667" s="2" t="s">
        <v>729</v>
      </c>
      <c r="B667" s="2" t="s">
        <v>712</v>
      </c>
      <c r="C667" s="2" t="s">
        <v>29</v>
      </c>
      <c r="D667" s="3">
        <v>3867</v>
      </c>
      <c r="E667" s="4" t="s">
        <v>30</v>
      </c>
      <c r="F667" s="5">
        <v>1.91</v>
      </c>
      <c r="G667" s="4" t="s">
        <v>31</v>
      </c>
      <c r="H667" s="6">
        <f t="shared" si="10"/>
        <v>7385.9699999999993</v>
      </c>
    </row>
    <row r="668" spans="1:8" x14ac:dyDescent="0.2">
      <c r="A668" s="2" t="s">
        <v>730</v>
      </c>
      <c r="B668" s="2" t="s">
        <v>712</v>
      </c>
      <c r="C668" s="2" t="s">
        <v>44</v>
      </c>
      <c r="D668" s="3">
        <v>2037</v>
      </c>
      <c r="E668" s="4" t="s">
        <v>24</v>
      </c>
      <c r="F668" s="5">
        <v>1.38</v>
      </c>
      <c r="G668" s="4" t="s">
        <v>25</v>
      </c>
      <c r="H668" s="6">
        <f t="shared" si="10"/>
        <v>2811.06</v>
      </c>
    </row>
    <row r="669" spans="1:8" x14ac:dyDescent="0.2">
      <c r="A669" s="2" t="s">
        <v>731</v>
      </c>
      <c r="B669" s="2" t="s">
        <v>712</v>
      </c>
      <c r="C669" s="2" t="s">
        <v>147</v>
      </c>
      <c r="D669" s="3">
        <v>680</v>
      </c>
      <c r="E669" s="4" t="s">
        <v>53</v>
      </c>
      <c r="F669" s="5">
        <v>12.2</v>
      </c>
      <c r="G669" s="4" t="s">
        <v>54</v>
      </c>
      <c r="H669" s="6">
        <f t="shared" si="10"/>
        <v>8296</v>
      </c>
    </row>
    <row r="670" spans="1:8" x14ac:dyDescent="0.2">
      <c r="A670" s="2" t="s">
        <v>732</v>
      </c>
      <c r="B670" s="2" t="s">
        <v>712</v>
      </c>
      <c r="C670" s="2" t="s">
        <v>78</v>
      </c>
      <c r="D670" s="3">
        <v>2973</v>
      </c>
      <c r="E670" s="4" t="s">
        <v>38</v>
      </c>
      <c r="F670" s="5">
        <v>1.63</v>
      </c>
      <c r="G670" s="4" t="s">
        <v>39</v>
      </c>
      <c r="H670" s="6">
        <f t="shared" si="10"/>
        <v>4845.99</v>
      </c>
    </row>
    <row r="671" spans="1:8" x14ac:dyDescent="0.2">
      <c r="A671" s="2" t="s">
        <v>733</v>
      </c>
      <c r="B671" s="2" t="s">
        <v>712</v>
      </c>
      <c r="C671" s="2" t="s">
        <v>46</v>
      </c>
      <c r="D671" s="3">
        <v>929</v>
      </c>
      <c r="E671" s="4" t="s">
        <v>20</v>
      </c>
      <c r="F671" s="5">
        <v>2.12</v>
      </c>
      <c r="G671" s="4" t="s">
        <v>21</v>
      </c>
      <c r="H671" s="6">
        <f t="shared" si="10"/>
        <v>1969.48</v>
      </c>
    </row>
    <row r="672" spans="1:8" x14ac:dyDescent="0.2">
      <c r="A672" s="2" t="s">
        <v>734</v>
      </c>
      <c r="B672" s="2" t="s">
        <v>712</v>
      </c>
      <c r="C672" s="2" t="s">
        <v>29</v>
      </c>
      <c r="D672" s="3">
        <v>4150</v>
      </c>
      <c r="E672" s="4" t="s">
        <v>30</v>
      </c>
      <c r="F672" s="5">
        <v>1.24</v>
      </c>
      <c r="G672" s="4" t="s">
        <v>31</v>
      </c>
      <c r="H672" s="6">
        <f t="shared" si="10"/>
        <v>5146</v>
      </c>
    </row>
    <row r="673" spans="1:8" x14ac:dyDescent="0.2">
      <c r="A673" s="2" t="s">
        <v>735</v>
      </c>
      <c r="B673" s="2" t="s">
        <v>712</v>
      </c>
      <c r="C673" s="2" t="s">
        <v>29</v>
      </c>
      <c r="D673" s="3">
        <v>1237</v>
      </c>
      <c r="E673" s="4" t="s">
        <v>30</v>
      </c>
      <c r="F673" s="5">
        <v>1.2</v>
      </c>
      <c r="G673" s="4" t="s">
        <v>31</v>
      </c>
      <c r="H673" s="6">
        <f t="shared" si="10"/>
        <v>1484.3999999999999</v>
      </c>
    </row>
    <row r="674" spans="1:8" x14ac:dyDescent="0.2">
      <c r="A674" s="2" t="s">
        <v>736</v>
      </c>
      <c r="B674" s="2" t="s">
        <v>712</v>
      </c>
      <c r="C674" s="2" t="s">
        <v>78</v>
      </c>
      <c r="D674" s="3">
        <v>3629</v>
      </c>
      <c r="E674" s="4" t="s">
        <v>38</v>
      </c>
      <c r="F674" s="5">
        <v>1.7</v>
      </c>
      <c r="G674" s="4" t="s">
        <v>39</v>
      </c>
      <c r="H674" s="6">
        <f t="shared" si="10"/>
        <v>6169.3</v>
      </c>
    </row>
    <row r="675" spans="1:8" x14ac:dyDescent="0.2">
      <c r="A675" s="2" t="s">
        <v>737</v>
      </c>
      <c r="B675" s="2" t="s">
        <v>712</v>
      </c>
      <c r="C675" s="2" t="s">
        <v>44</v>
      </c>
      <c r="D675" s="3">
        <v>4787</v>
      </c>
      <c r="E675" s="4" t="s">
        <v>24</v>
      </c>
      <c r="F675" s="5">
        <v>1.24</v>
      </c>
      <c r="G675" s="4" t="s">
        <v>25</v>
      </c>
      <c r="H675" s="6">
        <f t="shared" si="10"/>
        <v>5935.88</v>
      </c>
    </row>
    <row r="676" spans="1:8" x14ac:dyDescent="0.2">
      <c r="A676" s="2" t="s">
        <v>738</v>
      </c>
      <c r="B676" s="2" t="s">
        <v>712</v>
      </c>
      <c r="C676" s="2" t="s">
        <v>78</v>
      </c>
      <c r="D676" s="3">
        <v>3659</v>
      </c>
      <c r="E676" s="4" t="s">
        <v>38</v>
      </c>
      <c r="F676" s="5">
        <v>2.87</v>
      </c>
      <c r="G676" s="4" t="s">
        <v>39</v>
      </c>
      <c r="H676" s="6">
        <f t="shared" si="10"/>
        <v>10501.33</v>
      </c>
    </row>
    <row r="677" spans="1:8" x14ac:dyDescent="0.2">
      <c r="A677" s="2" t="s">
        <v>739</v>
      </c>
      <c r="B677" s="2" t="s">
        <v>712</v>
      </c>
      <c r="C677" s="2" t="s">
        <v>23</v>
      </c>
      <c r="D677" s="3">
        <v>1090</v>
      </c>
      <c r="E677" s="4" t="s">
        <v>24</v>
      </c>
      <c r="F677" s="5">
        <v>15.08</v>
      </c>
      <c r="G677" s="4" t="s">
        <v>25</v>
      </c>
      <c r="H677" s="6">
        <f t="shared" si="10"/>
        <v>16437.2</v>
      </c>
    </row>
    <row r="678" spans="1:8" x14ac:dyDescent="0.2">
      <c r="A678" s="2" t="s">
        <v>740</v>
      </c>
      <c r="B678" s="2" t="s">
        <v>712</v>
      </c>
      <c r="C678" s="2" t="s">
        <v>23</v>
      </c>
      <c r="D678" s="3">
        <v>4629</v>
      </c>
      <c r="E678" s="4" t="s">
        <v>24</v>
      </c>
      <c r="F678" s="5">
        <v>12.35</v>
      </c>
      <c r="G678" s="4" t="s">
        <v>25</v>
      </c>
      <c r="H678" s="6">
        <f t="shared" si="10"/>
        <v>57168.15</v>
      </c>
    </row>
    <row r="679" spans="1:8" x14ac:dyDescent="0.2">
      <c r="A679" s="2" t="s">
        <v>741</v>
      </c>
      <c r="B679" s="2" t="s">
        <v>712</v>
      </c>
      <c r="C679" s="2" t="s">
        <v>23</v>
      </c>
      <c r="D679" s="3">
        <v>2534</v>
      </c>
      <c r="E679" s="4" t="s">
        <v>24</v>
      </c>
      <c r="F679" s="5">
        <v>16.34</v>
      </c>
      <c r="G679" s="4" t="s">
        <v>25</v>
      </c>
      <c r="H679" s="6">
        <f t="shared" si="10"/>
        <v>41405.56</v>
      </c>
    </row>
    <row r="680" spans="1:8" x14ac:dyDescent="0.2">
      <c r="A680" s="2" t="s">
        <v>742</v>
      </c>
      <c r="B680" s="2" t="s">
        <v>712</v>
      </c>
      <c r="C680" s="2" t="s">
        <v>67</v>
      </c>
      <c r="D680" s="3">
        <v>2094</v>
      </c>
      <c r="E680" s="4" t="s">
        <v>24</v>
      </c>
      <c r="F680" s="5">
        <v>0.54</v>
      </c>
      <c r="G680" s="4" t="s">
        <v>25</v>
      </c>
      <c r="H680" s="6">
        <f t="shared" si="10"/>
        <v>1130.76</v>
      </c>
    </row>
    <row r="681" spans="1:8" x14ac:dyDescent="0.2">
      <c r="A681" s="2" t="s">
        <v>743</v>
      </c>
      <c r="B681" s="2" t="s">
        <v>712</v>
      </c>
      <c r="C681" s="2" t="s">
        <v>44</v>
      </c>
      <c r="D681" s="3">
        <v>4747</v>
      </c>
      <c r="E681" s="4" t="s">
        <v>24</v>
      </c>
      <c r="F681" s="5">
        <v>0.95</v>
      </c>
      <c r="G681" s="4" t="s">
        <v>25</v>
      </c>
      <c r="H681" s="6">
        <f t="shared" si="10"/>
        <v>4509.6499999999996</v>
      </c>
    </row>
    <row r="682" spans="1:8" x14ac:dyDescent="0.2">
      <c r="A682" s="2" t="s">
        <v>744</v>
      </c>
      <c r="B682" s="2" t="s">
        <v>712</v>
      </c>
      <c r="C682" s="2" t="s">
        <v>52</v>
      </c>
      <c r="D682" s="3">
        <v>2832</v>
      </c>
      <c r="E682" s="4" t="s">
        <v>53</v>
      </c>
      <c r="F682" s="5">
        <v>12.5</v>
      </c>
      <c r="G682" s="4" t="s">
        <v>54</v>
      </c>
      <c r="H682" s="6">
        <f t="shared" si="10"/>
        <v>35400</v>
      </c>
    </row>
    <row r="683" spans="1:8" x14ac:dyDescent="0.2">
      <c r="A683" s="2" t="s">
        <v>745</v>
      </c>
      <c r="B683" s="2" t="s">
        <v>712</v>
      </c>
      <c r="C683" s="2" t="s">
        <v>29</v>
      </c>
      <c r="D683" s="3">
        <v>503</v>
      </c>
      <c r="E683" s="4" t="s">
        <v>30</v>
      </c>
      <c r="F683" s="5">
        <v>2.12</v>
      </c>
      <c r="G683" s="4" t="s">
        <v>31</v>
      </c>
      <c r="H683" s="6">
        <f t="shared" si="10"/>
        <v>1066.3600000000001</v>
      </c>
    </row>
    <row r="684" spans="1:8" x14ac:dyDescent="0.2">
      <c r="A684" s="2" t="s">
        <v>746</v>
      </c>
      <c r="B684" s="2" t="s">
        <v>712</v>
      </c>
      <c r="C684" s="2" t="s">
        <v>27</v>
      </c>
      <c r="D684" s="3">
        <v>3877</v>
      </c>
      <c r="E684" s="4" t="s">
        <v>20</v>
      </c>
      <c r="F684" s="5">
        <v>1.24</v>
      </c>
      <c r="G684" s="4" t="s">
        <v>21</v>
      </c>
      <c r="H684" s="6">
        <f t="shared" si="10"/>
        <v>4807.4799999999996</v>
      </c>
    </row>
    <row r="685" spans="1:8" x14ac:dyDescent="0.2">
      <c r="A685" s="2" t="s">
        <v>747</v>
      </c>
      <c r="B685" s="2" t="s">
        <v>712</v>
      </c>
      <c r="C685" s="2" t="s">
        <v>52</v>
      </c>
      <c r="D685" s="3">
        <v>1484</v>
      </c>
      <c r="E685" s="4" t="s">
        <v>53</v>
      </c>
      <c r="F685" s="5">
        <v>12.84</v>
      </c>
      <c r="G685" s="4" t="s">
        <v>54</v>
      </c>
      <c r="H685" s="6">
        <f t="shared" si="10"/>
        <v>19054.560000000001</v>
      </c>
    </row>
    <row r="686" spans="1:8" x14ac:dyDescent="0.2">
      <c r="A686" s="2" t="s">
        <v>748</v>
      </c>
      <c r="B686" s="2" t="s">
        <v>712</v>
      </c>
      <c r="C686" s="2" t="s">
        <v>52</v>
      </c>
      <c r="D686" s="3">
        <v>3077</v>
      </c>
      <c r="E686" s="4" t="s">
        <v>53</v>
      </c>
      <c r="F686" s="5">
        <v>13.96</v>
      </c>
      <c r="G686" s="4" t="s">
        <v>54</v>
      </c>
      <c r="H686" s="6">
        <f t="shared" si="10"/>
        <v>42954.920000000006</v>
      </c>
    </row>
    <row r="687" spans="1:8" x14ac:dyDescent="0.2">
      <c r="A687" s="2" t="s">
        <v>749</v>
      </c>
      <c r="B687" s="2" t="s">
        <v>712</v>
      </c>
      <c r="C687" s="2" t="s">
        <v>67</v>
      </c>
      <c r="D687" s="3">
        <v>3684</v>
      </c>
      <c r="E687" s="4" t="s">
        <v>24</v>
      </c>
      <c r="F687" s="5">
        <v>0.56000000000000005</v>
      </c>
      <c r="G687" s="4" t="s">
        <v>25</v>
      </c>
      <c r="H687" s="6">
        <f t="shared" si="10"/>
        <v>2063.0400000000004</v>
      </c>
    </row>
    <row r="688" spans="1:8" x14ac:dyDescent="0.2">
      <c r="A688" s="2" t="s">
        <v>750</v>
      </c>
      <c r="B688" s="2" t="s">
        <v>712</v>
      </c>
      <c r="C688" s="2" t="s">
        <v>67</v>
      </c>
      <c r="D688" s="3">
        <v>3087</v>
      </c>
      <c r="E688" s="4" t="s">
        <v>24</v>
      </c>
      <c r="F688" s="5">
        <v>0.32</v>
      </c>
      <c r="G688" s="4" t="s">
        <v>25</v>
      </c>
      <c r="H688" s="6">
        <f t="shared" si="10"/>
        <v>987.84</v>
      </c>
    </row>
    <row r="689" spans="1:8" x14ac:dyDescent="0.2">
      <c r="A689" s="2" t="s">
        <v>751</v>
      </c>
      <c r="B689" s="2" t="s">
        <v>712</v>
      </c>
      <c r="C689" s="2" t="s">
        <v>29</v>
      </c>
      <c r="D689" s="3">
        <v>1099</v>
      </c>
      <c r="E689" s="4" t="s">
        <v>30</v>
      </c>
      <c r="F689" s="5">
        <v>1.78</v>
      </c>
      <c r="G689" s="4" t="s">
        <v>31</v>
      </c>
      <c r="H689" s="6">
        <f t="shared" si="10"/>
        <v>1956.22</v>
      </c>
    </row>
    <row r="690" spans="1:8" x14ac:dyDescent="0.2">
      <c r="A690" s="2" t="s">
        <v>752</v>
      </c>
      <c r="B690" s="2" t="s">
        <v>712</v>
      </c>
      <c r="C690" s="2" t="s">
        <v>19</v>
      </c>
      <c r="D690" s="3">
        <v>981</v>
      </c>
      <c r="E690" s="4" t="s">
        <v>20</v>
      </c>
      <c r="F690" s="5">
        <v>1.21</v>
      </c>
      <c r="G690" s="4" t="s">
        <v>21</v>
      </c>
      <c r="H690" s="6">
        <f t="shared" si="10"/>
        <v>1187.01</v>
      </c>
    </row>
    <row r="691" spans="1:8" x14ac:dyDescent="0.2">
      <c r="A691" s="2" t="s">
        <v>753</v>
      </c>
      <c r="B691" s="2" t="s">
        <v>712</v>
      </c>
      <c r="C691" s="2" t="s">
        <v>29</v>
      </c>
      <c r="D691" s="3">
        <v>3229</v>
      </c>
      <c r="E691" s="4" t="s">
        <v>30</v>
      </c>
      <c r="F691" s="5">
        <v>1.63</v>
      </c>
      <c r="G691" s="4" t="s">
        <v>31</v>
      </c>
      <c r="H691" s="6">
        <f t="shared" si="10"/>
        <v>5263.2699999999995</v>
      </c>
    </row>
    <row r="692" spans="1:8" x14ac:dyDescent="0.2">
      <c r="A692" s="2" t="s">
        <v>754</v>
      </c>
      <c r="B692" s="2" t="s">
        <v>712</v>
      </c>
      <c r="C692" s="2" t="s">
        <v>42</v>
      </c>
      <c r="D692" s="3">
        <v>38</v>
      </c>
      <c r="E692" s="4" t="s">
        <v>24</v>
      </c>
      <c r="F692" s="5">
        <v>5.77</v>
      </c>
      <c r="G692" s="4" t="s">
        <v>25</v>
      </c>
      <c r="H692" s="6">
        <f t="shared" si="10"/>
        <v>219.26</v>
      </c>
    </row>
    <row r="693" spans="1:8" x14ac:dyDescent="0.2">
      <c r="A693" s="2" t="s">
        <v>755</v>
      </c>
      <c r="B693" s="2" t="s">
        <v>712</v>
      </c>
      <c r="C693" s="2" t="s">
        <v>71</v>
      </c>
      <c r="D693" s="3">
        <v>3802</v>
      </c>
      <c r="E693" s="4" t="s">
        <v>72</v>
      </c>
      <c r="F693" s="5">
        <v>2804.1</v>
      </c>
      <c r="G693" s="4" t="s">
        <v>73</v>
      </c>
      <c r="H693" s="6">
        <f t="shared" si="10"/>
        <v>10661188.199999999</v>
      </c>
    </row>
    <row r="694" spans="1:8" x14ac:dyDescent="0.2">
      <c r="A694" s="2" t="s">
        <v>756</v>
      </c>
      <c r="B694" s="2" t="s">
        <v>712</v>
      </c>
      <c r="C694" s="2" t="s">
        <v>29</v>
      </c>
      <c r="D694" s="3">
        <v>3484</v>
      </c>
      <c r="E694" s="4" t="s">
        <v>30</v>
      </c>
      <c r="F694" s="5">
        <v>1.64</v>
      </c>
      <c r="G694" s="4" t="s">
        <v>31</v>
      </c>
      <c r="H694" s="6">
        <f t="shared" si="10"/>
        <v>5713.7599999999993</v>
      </c>
    </row>
    <row r="695" spans="1:8" x14ac:dyDescent="0.2">
      <c r="A695" s="2" t="s">
        <v>757</v>
      </c>
      <c r="B695" s="2" t="s">
        <v>712</v>
      </c>
      <c r="C695" s="2" t="s">
        <v>42</v>
      </c>
      <c r="D695" s="3">
        <v>2037</v>
      </c>
      <c r="E695" s="4" t="s">
        <v>24</v>
      </c>
      <c r="F695" s="5">
        <v>4.88</v>
      </c>
      <c r="G695" s="4" t="s">
        <v>25</v>
      </c>
      <c r="H695" s="6">
        <f t="shared" si="10"/>
        <v>9940.56</v>
      </c>
    </row>
    <row r="696" spans="1:8" x14ac:dyDescent="0.2">
      <c r="A696" s="2" t="s">
        <v>758</v>
      </c>
      <c r="B696" s="2" t="s">
        <v>712</v>
      </c>
      <c r="C696" s="2" t="s">
        <v>89</v>
      </c>
      <c r="D696" s="3">
        <v>2268</v>
      </c>
      <c r="E696" s="4" t="s">
        <v>30</v>
      </c>
      <c r="F696" s="5">
        <v>2.0299999999999998</v>
      </c>
      <c r="G696" s="4" t="s">
        <v>31</v>
      </c>
      <c r="H696" s="6">
        <f t="shared" si="10"/>
        <v>4604.04</v>
      </c>
    </row>
    <row r="697" spans="1:8" x14ac:dyDescent="0.2">
      <c r="A697" s="2" t="s">
        <v>759</v>
      </c>
      <c r="B697" s="2" t="s">
        <v>712</v>
      </c>
      <c r="C697" s="2" t="s">
        <v>50</v>
      </c>
      <c r="D697" s="3">
        <v>273</v>
      </c>
      <c r="E697" s="4" t="s">
        <v>20</v>
      </c>
      <c r="F697" s="5">
        <v>1.19</v>
      </c>
      <c r="G697" s="4" t="s">
        <v>21</v>
      </c>
      <c r="H697" s="6">
        <f t="shared" si="10"/>
        <v>324.87</v>
      </c>
    </row>
    <row r="698" spans="1:8" x14ac:dyDescent="0.2">
      <c r="A698" s="2" t="s">
        <v>760</v>
      </c>
      <c r="B698" s="2" t="s">
        <v>712</v>
      </c>
      <c r="C698" s="2" t="s">
        <v>52</v>
      </c>
      <c r="D698" s="3">
        <v>138</v>
      </c>
      <c r="E698" s="4" t="s">
        <v>53</v>
      </c>
      <c r="F698" s="5">
        <v>10.199999999999999</v>
      </c>
      <c r="G698" s="4" t="s">
        <v>54</v>
      </c>
      <c r="H698" s="6">
        <f t="shared" si="10"/>
        <v>1407.6</v>
      </c>
    </row>
    <row r="699" spans="1:8" x14ac:dyDescent="0.2">
      <c r="A699" s="2" t="s">
        <v>761</v>
      </c>
      <c r="B699" s="2" t="s">
        <v>712</v>
      </c>
      <c r="C699" s="2" t="s">
        <v>27</v>
      </c>
      <c r="D699" s="3">
        <v>836</v>
      </c>
      <c r="E699" s="4" t="s">
        <v>20</v>
      </c>
      <c r="F699" s="5">
        <v>1.91</v>
      </c>
      <c r="G699" s="4" t="s">
        <v>21</v>
      </c>
      <c r="H699" s="6">
        <f t="shared" si="10"/>
        <v>1596.76</v>
      </c>
    </row>
    <row r="700" spans="1:8" x14ac:dyDescent="0.2">
      <c r="A700" s="2" t="s">
        <v>762</v>
      </c>
      <c r="B700" s="2" t="s">
        <v>712</v>
      </c>
      <c r="C700" s="2" t="s">
        <v>23</v>
      </c>
      <c r="D700" s="3">
        <v>4907</v>
      </c>
      <c r="E700" s="4" t="s">
        <v>24</v>
      </c>
      <c r="F700" s="5">
        <v>16.03</v>
      </c>
      <c r="G700" s="4" t="s">
        <v>25</v>
      </c>
      <c r="H700" s="6">
        <f t="shared" si="10"/>
        <v>78659.210000000006</v>
      </c>
    </row>
    <row r="701" spans="1:8" x14ac:dyDescent="0.2">
      <c r="A701" s="2" t="s">
        <v>763</v>
      </c>
      <c r="B701" s="2" t="s">
        <v>712</v>
      </c>
      <c r="C701" s="2" t="s">
        <v>37</v>
      </c>
      <c r="D701" s="3">
        <v>2014</v>
      </c>
      <c r="E701" s="4" t="s">
        <v>38</v>
      </c>
      <c r="F701" s="5">
        <v>4.22</v>
      </c>
      <c r="G701" s="4" t="s">
        <v>39</v>
      </c>
      <c r="H701" s="6">
        <f t="shared" si="10"/>
        <v>8499.08</v>
      </c>
    </row>
    <row r="702" spans="1:8" x14ac:dyDescent="0.2">
      <c r="A702" s="2" t="s">
        <v>764</v>
      </c>
      <c r="B702" s="2" t="s">
        <v>712</v>
      </c>
      <c r="C702" s="2" t="s">
        <v>67</v>
      </c>
      <c r="D702" s="3">
        <v>3605</v>
      </c>
      <c r="E702" s="4" t="s">
        <v>24</v>
      </c>
      <c r="F702" s="5">
        <v>0.37</v>
      </c>
      <c r="G702" s="4" t="s">
        <v>25</v>
      </c>
      <c r="H702" s="6">
        <f t="shared" si="10"/>
        <v>1333.85</v>
      </c>
    </row>
    <row r="703" spans="1:8" x14ac:dyDescent="0.2">
      <c r="A703" s="2" t="s">
        <v>765</v>
      </c>
      <c r="B703" s="2" t="s">
        <v>712</v>
      </c>
      <c r="C703" s="2" t="s">
        <v>44</v>
      </c>
      <c r="D703" s="3">
        <v>472</v>
      </c>
      <c r="E703" s="4" t="s">
        <v>24</v>
      </c>
      <c r="F703" s="5">
        <v>1</v>
      </c>
      <c r="G703" s="4" t="s">
        <v>25</v>
      </c>
      <c r="H703" s="6">
        <f t="shared" si="10"/>
        <v>472</v>
      </c>
    </row>
    <row r="704" spans="1:8" x14ac:dyDescent="0.2">
      <c r="A704" s="2" t="s">
        <v>766</v>
      </c>
      <c r="B704" s="2" t="s">
        <v>712</v>
      </c>
      <c r="C704" s="2" t="s">
        <v>71</v>
      </c>
      <c r="D704" s="3">
        <v>1928</v>
      </c>
      <c r="E704" s="4" t="s">
        <v>72</v>
      </c>
      <c r="F704" s="5">
        <v>2889.47</v>
      </c>
      <c r="G704" s="4" t="s">
        <v>73</v>
      </c>
      <c r="H704" s="6">
        <f t="shared" si="10"/>
        <v>5570898.1599999992</v>
      </c>
    </row>
    <row r="705" spans="1:8" x14ac:dyDescent="0.2">
      <c r="A705" s="2" t="s">
        <v>767</v>
      </c>
      <c r="B705" s="2" t="s">
        <v>712</v>
      </c>
      <c r="C705" s="2" t="s">
        <v>46</v>
      </c>
      <c r="D705" s="3">
        <v>2622</v>
      </c>
      <c r="E705" s="4" t="s">
        <v>20</v>
      </c>
      <c r="F705" s="5">
        <v>3.15</v>
      </c>
      <c r="G705" s="4" t="s">
        <v>21</v>
      </c>
      <c r="H705" s="6">
        <f t="shared" si="10"/>
        <v>8259.2999999999993</v>
      </c>
    </row>
    <row r="706" spans="1:8" x14ac:dyDescent="0.2">
      <c r="A706" s="2" t="s">
        <v>768</v>
      </c>
      <c r="B706" s="2" t="s">
        <v>712</v>
      </c>
      <c r="C706" s="2" t="s">
        <v>57</v>
      </c>
      <c r="D706" s="3">
        <v>1950</v>
      </c>
      <c r="E706" s="4" t="s">
        <v>20</v>
      </c>
      <c r="F706" s="5">
        <v>0.72</v>
      </c>
      <c r="G706" s="4" t="s">
        <v>21</v>
      </c>
      <c r="H706" s="6">
        <f t="shared" ref="H706:H769" si="11">D706*F706</f>
        <v>1404</v>
      </c>
    </row>
    <row r="707" spans="1:8" x14ac:dyDescent="0.2">
      <c r="A707" s="2" t="s">
        <v>769</v>
      </c>
      <c r="B707" s="2" t="s">
        <v>712</v>
      </c>
      <c r="C707" s="2" t="s">
        <v>89</v>
      </c>
      <c r="D707" s="3">
        <v>4280</v>
      </c>
      <c r="E707" s="4" t="s">
        <v>30</v>
      </c>
      <c r="F707" s="5">
        <v>2.0699999999999998</v>
      </c>
      <c r="G707" s="4" t="s">
        <v>31</v>
      </c>
      <c r="H707" s="6">
        <f t="shared" si="11"/>
        <v>8859.5999999999985</v>
      </c>
    </row>
    <row r="708" spans="1:8" x14ac:dyDescent="0.2">
      <c r="A708" s="2" t="s">
        <v>770</v>
      </c>
      <c r="B708" s="2" t="s">
        <v>712</v>
      </c>
      <c r="C708" s="2" t="s">
        <v>71</v>
      </c>
      <c r="D708" s="3">
        <v>2264</v>
      </c>
      <c r="E708" s="4" t="s">
        <v>72</v>
      </c>
      <c r="F708" s="5">
        <v>2436.5700000000002</v>
      </c>
      <c r="G708" s="4" t="s">
        <v>73</v>
      </c>
      <c r="H708" s="6">
        <f t="shared" si="11"/>
        <v>5516394.4800000004</v>
      </c>
    </row>
    <row r="709" spans="1:8" x14ac:dyDescent="0.2">
      <c r="A709" s="2" t="s">
        <v>771</v>
      </c>
      <c r="B709" s="2" t="s">
        <v>712</v>
      </c>
      <c r="C709" s="2" t="s">
        <v>46</v>
      </c>
      <c r="D709" s="3">
        <v>1444</v>
      </c>
      <c r="E709" s="4" t="s">
        <v>20</v>
      </c>
      <c r="F709" s="5">
        <v>3.25</v>
      </c>
      <c r="G709" s="4" t="s">
        <v>21</v>
      </c>
      <c r="H709" s="6">
        <f t="shared" si="11"/>
        <v>4693</v>
      </c>
    </row>
    <row r="710" spans="1:8" x14ac:dyDescent="0.2">
      <c r="A710" s="2" t="s">
        <v>772</v>
      </c>
      <c r="B710" s="2" t="s">
        <v>712</v>
      </c>
      <c r="C710" s="2" t="s">
        <v>52</v>
      </c>
      <c r="D710" s="3">
        <v>4563</v>
      </c>
      <c r="E710" s="4" t="s">
        <v>53</v>
      </c>
      <c r="F710" s="5">
        <v>11.48</v>
      </c>
      <c r="G710" s="4" t="s">
        <v>54</v>
      </c>
      <c r="H710" s="6">
        <f t="shared" si="11"/>
        <v>52383.240000000005</v>
      </c>
    </row>
    <row r="711" spans="1:8" x14ac:dyDescent="0.2">
      <c r="A711" s="2" t="s">
        <v>773</v>
      </c>
      <c r="B711" s="2" t="s">
        <v>712</v>
      </c>
      <c r="C711" s="2" t="s">
        <v>19</v>
      </c>
      <c r="D711" s="3">
        <v>3132</v>
      </c>
      <c r="E711" s="4" t="s">
        <v>20</v>
      </c>
      <c r="F711" s="5">
        <v>1.57</v>
      </c>
      <c r="G711" s="4" t="s">
        <v>21</v>
      </c>
      <c r="H711" s="6">
        <f t="shared" si="11"/>
        <v>4917.24</v>
      </c>
    </row>
    <row r="712" spans="1:8" x14ac:dyDescent="0.2">
      <c r="A712" s="2" t="s">
        <v>774</v>
      </c>
      <c r="B712" s="2" t="s">
        <v>712</v>
      </c>
      <c r="C712" s="2" t="s">
        <v>57</v>
      </c>
      <c r="D712" s="3">
        <v>3420</v>
      </c>
      <c r="E712" s="4" t="s">
        <v>20</v>
      </c>
      <c r="F712" s="5">
        <v>0.76</v>
      </c>
      <c r="G712" s="4" t="s">
        <v>21</v>
      </c>
      <c r="H712" s="6">
        <f t="shared" si="11"/>
        <v>2599.1999999999998</v>
      </c>
    </row>
    <row r="713" spans="1:8" x14ac:dyDescent="0.2">
      <c r="A713" s="2" t="s">
        <v>775</v>
      </c>
      <c r="B713" s="2" t="s">
        <v>712</v>
      </c>
      <c r="C713" s="2" t="s">
        <v>71</v>
      </c>
      <c r="D713" s="3">
        <v>3093</v>
      </c>
      <c r="E713" s="4" t="s">
        <v>72</v>
      </c>
      <c r="F713" s="5">
        <v>2510.33</v>
      </c>
      <c r="G713" s="4" t="s">
        <v>73</v>
      </c>
      <c r="H713" s="6">
        <f t="shared" si="11"/>
        <v>7764450.6899999995</v>
      </c>
    </row>
    <row r="714" spans="1:8" x14ac:dyDescent="0.2">
      <c r="A714" s="2" t="s">
        <v>776</v>
      </c>
      <c r="B714" s="2" t="s">
        <v>712</v>
      </c>
      <c r="C714" s="2" t="s">
        <v>29</v>
      </c>
      <c r="D714" s="3">
        <v>3889</v>
      </c>
      <c r="E714" s="4" t="s">
        <v>30</v>
      </c>
      <c r="F714" s="5">
        <v>1.29</v>
      </c>
      <c r="G714" s="4" t="s">
        <v>31</v>
      </c>
      <c r="H714" s="6">
        <f t="shared" si="11"/>
        <v>5016.8100000000004</v>
      </c>
    </row>
    <row r="715" spans="1:8" x14ac:dyDescent="0.2">
      <c r="A715" s="2" t="s">
        <v>777</v>
      </c>
      <c r="B715" s="2" t="s">
        <v>712</v>
      </c>
      <c r="C715" s="2" t="s">
        <v>42</v>
      </c>
      <c r="D715" s="3">
        <v>2473</v>
      </c>
      <c r="E715" s="4" t="s">
        <v>24</v>
      </c>
      <c r="F715" s="5">
        <v>6.07</v>
      </c>
      <c r="G715" s="4" t="s">
        <v>25</v>
      </c>
      <c r="H715" s="6">
        <f t="shared" si="11"/>
        <v>15011.11</v>
      </c>
    </row>
    <row r="716" spans="1:8" x14ac:dyDescent="0.2">
      <c r="A716" s="2" t="s">
        <v>778</v>
      </c>
      <c r="B716" s="2" t="s">
        <v>712</v>
      </c>
      <c r="C716" s="2" t="s">
        <v>89</v>
      </c>
      <c r="D716" s="3">
        <v>3803</v>
      </c>
      <c r="E716" s="4" t="s">
        <v>30</v>
      </c>
      <c r="F716" s="5">
        <v>2.9</v>
      </c>
      <c r="G716" s="4" t="s">
        <v>31</v>
      </c>
      <c r="H716" s="6">
        <f t="shared" si="11"/>
        <v>11028.699999999999</v>
      </c>
    </row>
    <row r="717" spans="1:8" x14ac:dyDescent="0.2">
      <c r="A717" s="2" t="s">
        <v>779</v>
      </c>
      <c r="B717" s="2" t="s">
        <v>712</v>
      </c>
      <c r="C717" s="2" t="s">
        <v>29</v>
      </c>
      <c r="D717" s="3">
        <v>3390</v>
      </c>
      <c r="E717" s="4" t="s">
        <v>30</v>
      </c>
      <c r="F717" s="5">
        <v>2.16</v>
      </c>
      <c r="G717" s="4" t="s">
        <v>31</v>
      </c>
      <c r="H717" s="6">
        <f t="shared" si="11"/>
        <v>7322.4000000000005</v>
      </c>
    </row>
    <row r="718" spans="1:8" x14ac:dyDescent="0.2">
      <c r="A718" s="2" t="s">
        <v>780</v>
      </c>
      <c r="B718" s="2" t="s">
        <v>712</v>
      </c>
      <c r="C718" s="2" t="s">
        <v>29</v>
      </c>
      <c r="D718" s="3">
        <v>4351</v>
      </c>
      <c r="E718" s="4" t="s">
        <v>30</v>
      </c>
      <c r="F718" s="5">
        <v>1.1599999999999999</v>
      </c>
      <c r="G718" s="4" t="s">
        <v>31</v>
      </c>
      <c r="H718" s="6">
        <f t="shared" si="11"/>
        <v>5047.16</v>
      </c>
    </row>
    <row r="719" spans="1:8" x14ac:dyDescent="0.2">
      <c r="A719" s="2" t="s">
        <v>781</v>
      </c>
      <c r="B719" s="2" t="s">
        <v>712</v>
      </c>
      <c r="C719" s="2" t="s">
        <v>42</v>
      </c>
      <c r="D719" s="3">
        <v>2098</v>
      </c>
      <c r="E719" s="4" t="s">
        <v>24</v>
      </c>
      <c r="F719" s="5">
        <v>4.1100000000000003</v>
      </c>
      <c r="G719" s="4" t="s">
        <v>25</v>
      </c>
      <c r="H719" s="6">
        <f t="shared" si="11"/>
        <v>8622.7800000000007</v>
      </c>
    </row>
    <row r="720" spans="1:8" x14ac:dyDescent="0.2">
      <c r="A720" s="2" t="s">
        <v>782</v>
      </c>
      <c r="B720" s="2" t="s">
        <v>712</v>
      </c>
      <c r="C720" s="2" t="s">
        <v>27</v>
      </c>
      <c r="D720" s="3">
        <v>3694</v>
      </c>
      <c r="E720" s="4" t="s">
        <v>20</v>
      </c>
      <c r="F720" s="5">
        <v>2.2200000000000002</v>
      </c>
      <c r="G720" s="4" t="s">
        <v>21</v>
      </c>
      <c r="H720" s="6">
        <f t="shared" si="11"/>
        <v>8200.68</v>
      </c>
    </row>
    <row r="721" spans="1:8" x14ac:dyDescent="0.2">
      <c r="A721" s="2" t="s">
        <v>783</v>
      </c>
      <c r="B721" s="2" t="s">
        <v>712</v>
      </c>
      <c r="C721" s="2" t="s">
        <v>27</v>
      </c>
      <c r="D721" s="3">
        <v>4397</v>
      </c>
      <c r="E721" s="4" t="s">
        <v>20</v>
      </c>
      <c r="F721" s="5">
        <v>2.0699999999999998</v>
      </c>
      <c r="G721" s="4" t="s">
        <v>21</v>
      </c>
      <c r="H721" s="6">
        <f t="shared" si="11"/>
        <v>9101.7899999999991</v>
      </c>
    </row>
    <row r="722" spans="1:8" x14ac:dyDescent="0.2">
      <c r="A722" s="2" t="s">
        <v>784</v>
      </c>
      <c r="B722" s="2" t="s">
        <v>712</v>
      </c>
      <c r="C722" s="2" t="s">
        <v>44</v>
      </c>
      <c r="D722" s="3">
        <v>432</v>
      </c>
      <c r="E722" s="4" t="s">
        <v>24</v>
      </c>
      <c r="F722" s="5">
        <v>1.0900000000000001</v>
      </c>
      <c r="G722" s="4" t="s">
        <v>25</v>
      </c>
      <c r="H722" s="6">
        <f t="shared" si="11"/>
        <v>470.88000000000005</v>
      </c>
    </row>
    <row r="723" spans="1:8" x14ac:dyDescent="0.2">
      <c r="A723" s="2" t="s">
        <v>785</v>
      </c>
      <c r="B723" s="2" t="s">
        <v>712</v>
      </c>
      <c r="C723" s="2" t="s">
        <v>147</v>
      </c>
      <c r="D723" s="3">
        <v>4949</v>
      </c>
      <c r="E723" s="4" t="s">
        <v>53</v>
      </c>
      <c r="F723" s="5">
        <v>8.32</v>
      </c>
      <c r="G723" s="4" t="s">
        <v>54</v>
      </c>
      <c r="H723" s="6">
        <f t="shared" si="11"/>
        <v>41175.68</v>
      </c>
    </row>
    <row r="724" spans="1:8" x14ac:dyDescent="0.2">
      <c r="A724" s="2" t="s">
        <v>786</v>
      </c>
      <c r="B724" s="2" t="s">
        <v>712</v>
      </c>
      <c r="C724" s="2" t="s">
        <v>27</v>
      </c>
      <c r="D724" s="3">
        <v>1551</v>
      </c>
      <c r="E724" s="4" t="s">
        <v>20</v>
      </c>
      <c r="F724" s="5">
        <v>2.17</v>
      </c>
      <c r="G724" s="4" t="s">
        <v>21</v>
      </c>
      <c r="H724" s="6">
        <f t="shared" si="11"/>
        <v>3365.67</v>
      </c>
    </row>
    <row r="725" spans="1:8" x14ac:dyDescent="0.2">
      <c r="A725" s="2" t="s">
        <v>787</v>
      </c>
      <c r="B725" s="2" t="s">
        <v>712</v>
      </c>
      <c r="C725" s="2" t="s">
        <v>46</v>
      </c>
      <c r="D725" s="3">
        <v>4588</v>
      </c>
      <c r="E725" s="4" t="s">
        <v>20</v>
      </c>
      <c r="F725" s="5">
        <v>2.4300000000000002</v>
      </c>
      <c r="G725" s="4" t="s">
        <v>21</v>
      </c>
      <c r="H725" s="6">
        <f t="shared" si="11"/>
        <v>11148.84</v>
      </c>
    </row>
    <row r="726" spans="1:8" x14ac:dyDescent="0.2">
      <c r="A726" s="2" t="s">
        <v>788</v>
      </c>
      <c r="B726" s="2" t="s">
        <v>712</v>
      </c>
      <c r="C726" s="2" t="s">
        <v>44</v>
      </c>
      <c r="D726" s="3">
        <v>2737</v>
      </c>
      <c r="E726" s="4" t="s">
        <v>24</v>
      </c>
      <c r="F726" s="5">
        <v>1.1100000000000001</v>
      </c>
      <c r="G726" s="4" t="s">
        <v>25</v>
      </c>
      <c r="H726" s="6">
        <f t="shared" si="11"/>
        <v>3038.07</v>
      </c>
    </row>
    <row r="727" spans="1:8" x14ac:dyDescent="0.2">
      <c r="A727" s="2" t="s">
        <v>789</v>
      </c>
      <c r="B727" s="2" t="s">
        <v>712</v>
      </c>
      <c r="C727" s="2" t="s">
        <v>33</v>
      </c>
      <c r="D727" s="3">
        <v>1745</v>
      </c>
      <c r="E727" s="4" t="s">
        <v>34</v>
      </c>
      <c r="F727" s="5">
        <v>5.84</v>
      </c>
      <c r="G727" s="4" t="s">
        <v>35</v>
      </c>
      <c r="H727" s="6">
        <f t="shared" si="11"/>
        <v>10190.799999999999</v>
      </c>
    </row>
    <row r="728" spans="1:8" x14ac:dyDescent="0.2">
      <c r="A728" s="2" t="s">
        <v>790</v>
      </c>
      <c r="B728" s="2" t="s">
        <v>712</v>
      </c>
      <c r="C728" s="2" t="s">
        <v>50</v>
      </c>
      <c r="D728" s="3">
        <v>3933</v>
      </c>
      <c r="E728" s="4" t="s">
        <v>20</v>
      </c>
      <c r="F728" s="5">
        <v>1.25</v>
      </c>
      <c r="G728" s="4" t="s">
        <v>21</v>
      </c>
      <c r="H728" s="6">
        <f t="shared" si="11"/>
        <v>4916.25</v>
      </c>
    </row>
    <row r="729" spans="1:8" x14ac:dyDescent="0.2">
      <c r="A729" s="2" t="s">
        <v>791</v>
      </c>
      <c r="B729" s="2" t="s">
        <v>712</v>
      </c>
      <c r="C729" s="2" t="s">
        <v>147</v>
      </c>
      <c r="D729" s="3">
        <v>1685</v>
      </c>
      <c r="E729" s="4" t="s">
        <v>53</v>
      </c>
      <c r="F729" s="5">
        <v>11.17</v>
      </c>
      <c r="G729" s="4" t="s">
        <v>54</v>
      </c>
      <c r="H729" s="6">
        <f t="shared" si="11"/>
        <v>18821.45</v>
      </c>
    </row>
    <row r="730" spans="1:8" x14ac:dyDescent="0.2">
      <c r="A730" s="2" t="s">
        <v>792</v>
      </c>
      <c r="B730" s="2" t="s">
        <v>712</v>
      </c>
      <c r="C730" s="2" t="s">
        <v>42</v>
      </c>
      <c r="D730" s="3">
        <v>4532</v>
      </c>
      <c r="E730" s="4" t="s">
        <v>24</v>
      </c>
      <c r="F730" s="5">
        <v>4.46</v>
      </c>
      <c r="G730" s="4" t="s">
        <v>25</v>
      </c>
      <c r="H730" s="6">
        <f t="shared" si="11"/>
        <v>20212.72</v>
      </c>
    </row>
    <row r="731" spans="1:8" x14ac:dyDescent="0.2">
      <c r="A731" s="2" t="s">
        <v>793</v>
      </c>
      <c r="B731" s="2" t="s">
        <v>712</v>
      </c>
      <c r="C731" s="2" t="s">
        <v>71</v>
      </c>
      <c r="D731" s="3">
        <v>3128</v>
      </c>
      <c r="E731" s="4" t="s">
        <v>72</v>
      </c>
      <c r="F731" s="5">
        <v>2679.75</v>
      </c>
      <c r="G731" s="4" t="s">
        <v>73</v>
      </c>
      <c r="H731" s="6">
        <f t="shared" si="11"/>
        <v>8382258</v>
      </c>
    </row>
    <row r="732" spans="1:8" x14ac:dyDescent="0.2">
      <c r="A732" s="2" t="s">
        <v>794</v>
      </c>
      <c r="B732" s="2" t="s">
        <v>712</v>
      </c>
      <c r="C732" s="2" t="s">
        <v>19</v>
      </c>
      <c r="D732" s="3">
        <v>2536</v>
      </c>
      <c r="E732" s="4" t="s">
        <v>20</v>
      </c>
      <c r="F732" s="5">
        <v>1.26</v>
      </c>
      <c r="G732" s="4" t="s">
        <v>21</v>
      </c>
      <c r="H732" s="6">
        <f t="shared" si="11"/>
        <v>3195.36</v>
      </c>
    </row>
    <row r="733" spans="1:8" x14ac:dyDescent="0.2">
      <c r="A733" s="2" t="s">
        <v>795</v>
      </c>
      <c r="B733" s="2" t="s">
        <v>712</v>
      </c>
      <c r="C733" s="2" t="s">
        <v>78</v>
      </c>
      <c r="D733" s="3">
        <v>4083</v>
      </c>
      <c r="E733" s="4" t="s">
        <v>38</v>
      </c>
      <c r="F733" s="5">
        <v>2.29</v>
      </c>
      <c r="G733" s="4" t="s">
        <v>39</v>
      </c>
      <c r="H733" s="6">
        <f t="shared" si="11"/>
        <v>9350.07</v>
      </c>
    </row>
    <row r="734" spans="1:8" x14ac:dyDescent="0.2">
      <c r="A734" s="2" t="s">
        <v>796</v>
      </c>
      <c r="B734" s="2" t="s">
        <v>712</v>
      </c>
      <c r="C734" s="2" t="s">
        <v>48</v>
      </c>
      <c r="D734" s="3">
        <v>2633</v>
      </c>
      <c r="E734" s="4" t="s">
        <v>24</v>
      </c>
      <c r="F734" s="5">
        <v>0.19</v>
      </c>
      <c r="G734" s="4" t="s">
        <v>25</v>
      </c>
      <c r="H734" s="6">
        <f t="shared" si="11"/>
        <v>500.27</v>
      </c>
    </row>
    <row r="735" spans="1:8" x14ac:dyDescent="0.2">
      <c r="A735" s="2" t="s">
        <v>797</v>
      </c>
      <c r="B735" s="2" t="s">
        <v>712</v>
      </c>
      <c r="C735" s="2" t="s">
        <v>19</v>
      </c>
      <c r="D735" s="3">
        <v>2573</v>
      </c>
      <c r="E735" s="4" t="s">
        <v>20</v>
      </c>
      <c r="F735" s="5">
        <v>1.35</v>
      </c>
      <c r="G735" s="4" t="s">
        <v>21</v>
      </c>
      <c r="H735" s="6">
        <f t="shared" si="11"/>
        <v>3473.55</v>
      </c>
    </row>
    <row r="736" spans="1:8" x14ac:dyDescent="0.2">
      <c r="A736" s="2" t="s">
        <v>798</v>
      </c>
      <c r="B736" s="2" t="s">
        <v>712</v>
      </c>
      <c r="C736" s="2" t="s">
        <v>46</v>
      </c>
      <c r="D736" s="3">
        <v>1822</v>
      </c>
      <c r="E736" s="4" t="s">
        <v>20</v>
      </c>
      <c r="F736" s="5">
        <v>3.48</v>
      </c>
      <c r="G736" s="4" t="s">
        <v>21</v>
      </c>
      <c r="H736" s="6">
        <f t="shared" si="11"/>
        <v>6340.56</v>
      </c>
    </row>
    <row r="737" spans="1:8" x14ac:dyDescent="0.2">
      <c r="A737" s="2" t="s">
        <v>799</v>
      </c>
      <c r="B737" s="2" t="s">
        <v>712</v>
      </c>
      <c r="C737" s="2" t="s">
        <v>33</v>
      </c>
      <c r="D737" s="3">
        <v>2146</v>
      </c>
      <c r="E737" s="4" t="s">
        <v>34</v>
      </c>
      <c r="F737" s="5">
        <v>4.88</v>
      </c>
      <c r="G737" s="4" t="s">
        <v>35</v>
      </c>
      <c r="H737" s="6">
        <f t="shared" si="11"/>
        <v>10472.48</v>
      </c>
    </row>
    <row r="738" spans="1:8" x14ac:dyDescent="0.2">
      <c r="A738" s="2" t="s">
        <v>800</v>
      </c>
      <c r="B738" s="2" t="s">
        <v>712</v>
      </c>
      <c r="C738" s="2" t="s">
        <v>46</v>
      </c>
      <c r="D738" s="3">
        <v>4754</v>
      </c>
      <c r="E738" s="4" t="s">
        <v>20</v>
      </c>
      <c r="F738" s="5">
        <v>3.44</v>
      </c>
      <c r="G738" s="4" t="s">
        <v>21</v>
      </c>
      <c r="H738" s="6">
        <f t="shared" si="11"/>
        <v>16353.76</v>
      </c>
    </row>
    <row r="739" spans="1:8" x14ac:dyDescent="0.2">
      <c r="A739" s="2" t="s">
        <v>801</v>
      </c>
      <c r="B739" s="2" t="s">
        <v>712</v>
      </c>
      <c r="C739" s="2" t="s">
        <v>71</v>
      </c>
      <c r="D739" s="3">
        <v>1258</v>
      </c>
      <c r="E739" s="4" t="s">
        <v>72</v>
      </c>
      <c r="F739" s="5">
        <v>2517.7199999999998</v>
      </c>
      <c r="G739" s="4" t="s">
        <v>73</v>
      </c>
      <c r="H739" s="6">
        <f t="shared" si="11"/>
        <v>3167291.76</v>
      </c>
    </row>
    <row r="740" spans="1:8" x14ac:dyDescent="0.2">
      <c r="A740" s="2" t="s">
        <v>802</v>
      </c>
      <c r="B740" s="2" t="s">
        <v>712</v>
      </c>
      <c r="C740" s="2" t="s">
        <v>42</v>
      </c>
      <c r="D740" s="3">
        <v>3121</v>
      </c>
      <c r="E740" s="4" t="s">
        <v>24</v>
      </c>
      <c r="F740" s="5">
        <v>5.21</v>
      </c>
      <c r="G740" s="4" t="s">
        <v>25</v>
      </c>
      <c r="H740" s="6">
        <f t="shared" si="11"/>
        <v>16260.41</v>
      </c>
    </row>
    <row r="741" spans="1:8" x14ac:dyDescent="0.2">
      <c r="A741" s="2" t="s">
        <v>803</v>
      </c>
      <c r="B741" s="2" t="s">
        <v>712</v>
      </c>
      <c r="C741" s="2" t="s">
        <v>42</v>
      </c>
      <c r="D741" s="3">
        <v>4100</v>
      </c>
      <c r="E741" s="4" t="s">
        <v>24</v>
      </c>
      <c r="F741" s="5">
        <v>5.15</v>
      </c>
      <c r="G741" s="4" t="s">
        <v>25</v>
      </c>
      <c r="H741" s="6">
        <f t="shared" si="11"/>
        <v>21115</v>
      </c>
    </row>
    <row r="742" spans="1:8" x14ac:dyDescent="0.2">
      <c r="A742" s="2" t="s">
        <v>804</v>
      </c>
      <c r="B742" s="2" t="s">
        <v>712</v>
      </c>
      <c r="C742" s="2" t="s">
        <v>57</v>
      </c>
      <c r="D742" s="3">
        <v>2118</v>
      </c>
      <c r="E742" s="4" t="s">
        <v>20</v>
      </c>
      <c r="F742" s="5">
        <v>0.91</v>
      </c>
      <c r="G742" s="4" t="s">
        <v>21</v>
      </c>
      <c r="H742" s="6">
        <f t="shared" si="11"/>
        <v>1927.38</v>
      </c>
    </row>
    <row r="743" spans="1:8" x14ac:dyDescent="0.2">
      <c r="A743" s="2" t="s">
        <v>805</v>
      </c>
      <c r="B743" s="2" t="s">
        <v>712</v>
      </c>
      <c r="C743" s="2" t="s">
        <v>48</v>
      </c>
      <c r="D743" s="3">
        <v>4028</v>
      </c>
      <c r="E743" s="4" t="s">
        <v>24</v>
      </c>
      <c r="F743" s="5">
        <v>0.12</v>
      </c>
      <c r="G743" s="4" t="s">
        <v>25</v>
      </c>
      <c r="H743" s="6">
        <f t="shared" si="11"/>
        <v>483.35999999999996</v>
      </c>
    </row>
    <row r="744" spans="1:8" x14ac:dyDescent="0.2">
      <c r="A744" s="2" t="s">
        <v>806</v>
      </c>
      <c r="B744" s="2" t="s">
        <v>712</v>
      </c>
      <c r="C744" s="2" t="s">
        <v>19</v>
      </c>
      <c r="D744" s="3">
        <v>1396</v>
      </c>
      <c r="E744" s="4" t="s">
        <v>20</v>
      </c>
      <c r="F744" s="5">
        <v>1.18</v>
      </c>
      <c r="G744" s="4" t="s">
        <v>21</v>
      </c>
      <c r="H744" s="6">
        <f t="shared" si="11"/>
        <v>1647.28</v>
      </c>
    </row>
    <row r="745" spans="1:8" x14ac:dyDescent="0.2">
      <c r="A745" s="2" t="s">
        <v>807</v>
      </c>
      <c r="B745" s="2" t="s">
        <v>712</v>
      </c>
      <c r="C745" s="2" t="s">
        <v>29</v>
      </c>
      <c r="D745" s="3">
        <v>4010</v>
      </c>
      <c r="E745" s="4" t="s">
        <v>30</v>
      </c>
      <c r="F745" s="5">
        <v>1.22</v>
      </c>
      <c r="G745" s="4" t="s">
        <v>31</v>
      </c>
      <c r="H745" s="6">
        <f t="shared" si="11"/>
        <v>4892.2</v>
      </c>
    </row>
    <row r="746" spans="1:8" x14ac:dyDescent="0.2">
      <c r="A746" s="2" t="s">
        <v>808</v>
      </c>
      <c r="B746" s="2" t="s">
        <v>712</v>
      </c>
      <c r="C746" s="2" t="s">
        <v>29</v>
      </c>
      <c r="D746" s="3">
        <v>491</v>
      </c>
      <c r="E746" s="4" t="s">
        <v>30</v>
      </c>
      <c r="F746" s="5">
        <v>1.63</v>
      </c>
      <c r="G746" s="4" t="s">
        <v>31</v>
      </c>
      <c r="H746" s="6">
        <f t="shared" si="11"/>
        <v>800.32999999999993</v>
      </c>
    </row>
    <row r="747" spans="1:8" x14ac:dyDescent="0.2">
      <c r="A747" s="2" t="s">
        <v>809</v>
      </c>
      <c r="B747" s="2" t="s">
        <v>712</v>
      </c>
      <c r="C747" s="2" t="s">
        <v>27</v>
      </c>
      <c r="D747" s="3">
        <v>407</v>
      </c>
      <c r="E747" s="4" t="s">
        <v>20</v>
      </c>
      <c r="F747" s="5">
        <v>2.12</v>
      </c>
      <c r="G747" s="4" t="s">
        <v>21</v>
      </c>
      <c r="H747" s="6">
        <f t="shared" si="11"/>
        <v>862.84</v>
      </c>
    </row>
    <row r="748" spans="1:8" x14ac:dyDescent="0.2">
      <c r="A748" s="2" t="s">
        <v>810</v>
      </c>
      <c r="B748" s="2" t="s">
        <v>712</v>
      </c>
      <c r="C748" s="2" t="s">
        <v>52</v>
      </c>
      <c r="D748" s="3">
        <v>1136</v>
      </c>
      <c r="E748" s="4" t="s">
        <v>53</v>
      </c>
      <c r="F748" s="5">
        <v>13.21</v>
      </c>
      <c r="G748" s="4" t="s">
        <v>54</v>
      </c>
      <c r="H748" s="6">
        <f t="shared" si="11"/>
        <v>15006.560000000001</v>
      </c>
    </row>
    <row r="749" spans="1:8" x14ac:dyDescent="0.2">
      <c r="A749" s="2" t="s">
        <v>811</v>
      </c>
      <c r="B749" s="2" t="s">
        <v>712</v>
      </c>
      <c r="C749" s="2" t="s">
        <v>42</v>
      </c>
      <c r="D749" s="3">
        <v>566</v>
      </c>
      <c r="E749" s="4" t="s">
        <v>24</v>
      </c>
      <c r="F749" s="5">
        <v>5.62</v>
      </c>
      <c r="G749" s="4" t="s">
        <v>25</v>
      </c>
      <c r="H749" s="6">
        <f t="shared" si="11"/>
        <v>3180.92</v>
      </c>
    </row>
    <row r="750" spans="1:8" x14ac:dyDescent="0.2">
      <c r="A750" s="2" t="s">
        <v>812</v>
      </c>
      <c r="B750" s="2" t="s">
        <v>712</v>
      </c>
      <c r="C750" s="2" t="s">
        <v>33</v>
      </c>
      <c r="D750" s="3">
        <v>1801</v>
      </c>
      <c r="E750" s="4" t="s">
        <v>34</v>
      </c>
      <c r="F750" s="5">
        <v>4.76</v>
      </c>
      <c r="G750" s="4" t="s">
        <v>35</v>
      </c>
      <c r="H750" s="6">
        <f t="shared" si="11"/>
        <v>8572.76</v>
      </c>
    </row>
    <row r="751" spans="1:8" x14ac:dyDescent="0.2">
      <c r="A751" s="2" t="s">
        <v>813</v>
      </c>
      <c r="B751" s="2" t="s">
        <v>712</v>
      </c>
      <c r="C751" s="2" t="s">
        <v>19</v>
      </c>
      <c r="D751" s="3">
        <v>505</v>
      </c>
      <c r="E751" s="4" t="s">
        <v>20</v>
      </c>
      <c r="F751" s="5">
        <v>1.47</v>
      </c>
      <c r="G751" s="4" t="s">
        <v>21</v>
      </c>
      <c r="H751" s="6">
        <f t="shared" si="11"/>
        <v>742.35</v>
      </c>
    </row>
    <row r="752" spans="1:8" x14ac:dyDescent="0.2">
      <c r="A752" s="2" t="s">
        <v>814</v>
      </c>
      <c r="B752" s="2" t="s">
        <v>712</v>
      </c>
      <c r="C752" s="2" t="s">
        <v>147</v>
      </c>
      <c r="D752" s="3">
        <v>3968</v>
      </c>
      <c r="E752" s="4" t="s">
        <v>53</v>
      </c>
      <c r="F752" s="5">
        <v>13.27</v>
      </c>
      <c r="G752" s="4" t="s">
        <v>54</v>
      </c>
      <c r="H752" s="6">
        <f t="shared" si="11"/>
        <v>52655.360000000001</v>
      </c>
    </row>
    <row r="753" spans="1:8" x14ac:dyDescent="0.2">
      <c r="A753" s="2" t="s">
        <v>815</v>
      </c>
      <c r="B753" s="2" t="s">
        <v>712</v>
      </c>
      <c r="C753" s="2" t="s">
        <v>33</v>
      </c>
      <c r="D753" s="3">
        <v>64</v>
      </c>
      <c r="E753" s="4" t="s">
        <v>34</v>
      </c>
      <c r="F753" s="5">
        <v>4.83</v>
      </c>
      <c r="G753" s="4" t="s">
        <v>35</v>
      </c>
      <c r="H753" s="6">
        <f t="shared" si="11"/>
        <v>309.12</v>
      </c>
    </row>
    <row r="754" spans="1:8" x14ac:dyDescent="0.2">
      <c r="A754" s="2" t="s">
        <v>816</v>
      </c>
      <c r="B754" s="2" t="s">
        <v>712</v>
      </c>
      <c r="C754" s="2" t="s">
        <v>52</v>
      </c>
      <c r="D754" s="3">
        <v>107</v>
      </c>
      <c r="E754" s="4" t="s">
        <v>53</v>
      </c>
      <c r="F754" s="5">
        <v>9.08</v>
      </c>
      <c r="G754" s="4" t="s">
        <v>54</v>
      </c>
      <c r="H754" s="6">
        <f t="shared" si="11"/>
        <v>971.56000000000006</v>
      </c>
    </row>
    <row r="755" spans="1:8" x14ac:dyDescent="0.2">
      <c r="A755" s="2" t="s">
        <v>817</v>
      </c>
      <c r="B755" s="2" t="s">
        <v>712</v>
      </c>
      <c r="C755" s="2" t="s">
        <v>86</v>
      </c>
      <c r="D755" s="3">
        <v>4398</v>
      </c>
      <c r="E755" s="4" t="s">
        <v>72</v>
      </c>
      <c r="F755" s="5">
        <v>9168.4699999999993</v>
      </c>
      <c r="G755" s="4" t="s">
        <v>73</v>
      </c>
      <c r="H755" s="6">
        <f t="shared" si="11"/>
        <v>40322931.059999995</v>
      </c>
    </row>
    <row r="756" spans="1:8" x14ac:dyDescent="0.2">
      <c r="A756" s="2" t="s">
        <v>818</v>
      </c>
      <c r="B756" s="2" t="s">
        <v>712</v>
      </c>
      <c r="C756" s="2" t="s">
        <v>33</v>
      </c>
      <c r="D756" s="3">
        <v>4124</v>
      </c>
      <c r="E756" s="4" t="s">
        <v>34</v>
      </c>
      <c r="F756" s="5">
        <v>5.53</v>
      </c>
      <c r="G756" s="4" t="s">
        <v>35</v>
      </c>
      <c r="H756" s="6">
        <f t="shared" si="11"/>
        <v>22805.72</v>
      </c>
    </row>
    <row r="757" spans="1:8" x14ac:dyDescent="0.2">
      <c r="A757" s="2" t="s">
        <v>819</v>
      </c>
      <c r="B757" s="2" t="s">
        <v>712</v>
      </c>
      <c r="C757" s="2" t="s">
        <v>52</v>
      </c>
      <c r="D757" s="3">
        <v>1478</v>
      </c>
      <c r="E757" s="4" t="s">
        <v>53</v>
      </c>
      <c r="F757" s="5">
        <v>9.5399999999999991</v>
      </c>
      <c r="G757" s="4" t="s">
        <v>54</v>
      </c>
      <c r="H757" s="6">
        <f t="shared" si="11"/>
        <v>14100.119999999999</v>
      </c>
    </row>
    <row r="758" spans="1:8" x14ac:dyDescent="0.2">
      <c r="A758" s="2" t="s">
        <v>820</v>
      </c>
      <c r="B758" s="2" t="s">
        <v>712</v>
      </c>
      <c r="C758" s="2" t="s">
        <v>50</v>
      </c>
      <c r="D758" s="3">
        <v>4305</v>
      </c>
      <c r="E758" s="4" t="s">
        <v>20</v>
      </c>
      <c r="F758" s="5">
        <v>0.79</v>
      </c>
      <c r="G758" s="4" t="s">
        <v>21</v>
      </c>
      <c r="H758" s="6">
        <f t="shared" si="11"/>
        <v>3400.9500000000003</v>
      </c>
    </row>
    <row r="759" spans="1:8" x14ac:dyDescent="0.2">
      <c r="A759" s="2" t="s">
        <v>821</v>
      </c>
      <c r="B759" s="2" t="s">
        <v>712</v>
      </c>
      <c r="C759" s="2" t="s">
        <v>44</v>
      </c>
      <c r="D759" s="3">
        <v>4322</v>
      </c>
      <c r="E759" s="4" t="s">
        <v>24</v>
      </c>
      <c r="F759" s="5">
        <v>1.08</v>
      </c>
      <c r="G759" s="4" t="s">
        <v>25</v>
      </c>
      <c r="H759" s="6">
        <f t="shared" si="11"/>
        <v>4667.76</v>
      </c>
    </row>
    <row r="760" spans="1:8" x14ac:dyDescent="0.2">
      <c r="A760" s="2" t="s">
        <v>822</v>
      </c>
      <c r="B760" s="2" t="s">
        <v>712</v>
      </c>
      <c r="C760" s="2" t="s">
        <v>19</v>
      </c>
      <c r="D760" s="3">
        <v>2199</v>
      </c>
      <c r="E760" s="4" t="s">
        <v>20</v>
      </c>
      <c r="F760" s="5">
        <v>1.58</v>
      </c>
      <c r="G760" s="4" t="s">
        <v>21</v>
      </c>
      <c r="H760" s="6">
        <f t="shared" si="11"/>
        <v>3474.42</v>
      </c>
    </row>
    <row r="761" spans="1:8" x14ac:dyDescent="0.2">
      <c r="A761" s="2" t="s">
        <v>823</v>
      </c>
      <c r="B761" s="2" t="s">
        <v>712</v>
      </c>
      <c r="C761" s="2" t="s">
        <v>27</v>
      </c>
      <c r="D761" s="3">
        <v>3066</v>
      </c>
      <c r="E761" s="4" t="s">
        <v>20</v>
      </c>
      <c r="F761" s="5">
        <v>2.35</v>
      </c>
      <c r="G761" s="4" t="s">
        <v>21</v>
      </c>
      <c r="H761" s="6">
        <f t="shared" si="11"/>
        <v>7205.1</v>
      </c>
    </row>
    <row r="762" spans="1:8" x14ac:dyDescent="0.2">
      <c r="A762" s="2" t="s">
        <v>824</v>
      </c>
      <c r="B762" s="2" t="s">
        <v>712</v>
      </c>
      <c r="C762" s="2" t="s">
        <v>23</v>
      </c>
      <c r="D762" s="3">
        <v>4638</v>
      </c>
      <c r="E762" s="4" t="s">
        <v>24</v>
      </c>
      <c r="F762" s="5">
        <v>13.46</v>
      </c>
      <c r="G762" s="4" t="s">
        <v>25</v>
      </c>
      <c r="H762" s="6">
        <f t="shared" si="11"/>
        <v>62427.48</v>
      </c>
    </row>
    <row r="763" spans="1:8" x14ac:dyDescent="0.2">
      <c r="A763" s="2" t="s">
        <v>825</v>
      </c>
      <c r="B763" s="2" t="s">
        <v>712</v>
      </c>
      <c r="C763" s="2" t="s">
        <v>42</v>
      </c>
      <c r="D763" s="3">
        <v>2467</v>
      </c>
      <c r="E763" s="4" t="s">
        <v>24</v>
      </c>
      <c r="F763" s="5">
        <v>5.55</v>
      </c>
      <c r="G763" s="4" t="s">
        <v>25</v>
      </c>
      <c r="H763" s="6">
        <f t="shared" si="11"/>
        <v>13691.85</v>
      </c>
    </row>
    <row r="764" spans="1:8" x14ac:dyDescent="0.2">
      <c r="A764" s="2" t="s">
        <v>826</v>
      </c>
      <c r="B764" s="2" t="s">
        <v>712</v>
      </c>
      <c r="C764" s="2" t="s">
        <v>27</v>
      </c>
      <c r="D764" s="3">
        <v>269</v>
      </c>
      <c r="E764" s="4" t="s">
        <v>20</v>
      </c>
      <c r="F764" s="5">
        <v>1.31</v>
      </c>
      <c r="G764" s="4" t="s">
        <v>21</v>
      </c>
      <c r="H764" s="6">
        <f t="shared" si="11"/>
        <v>352.39</v>
      </c>
    </row>
    <row r="765" spans="1:8" x14ac:dyDescent="0.2">
      <c r="A765" s="2" t="s">
        <v>827</v>
      </c>
      <c r="B765" s="2" t="s">
        <v>712</v>
      </c>
      <c r="C765" s="2" t="s">
        <v>67</v>
      </c>
      <c r="D765" s="3">
        <v>3099</v>
      </c>
      <c r="E765" s="4" t="s">
        <v>24</v>
      </c>
      <c r="F765" s="5">
        <v>0.47</v>
      </c>
      <c r="G765" s="4" t="s">
        <v>25</v>
      </c>
      <c r="H765" s="6">
        <f t="shared" si="11"/>
        <v>1456.53</v>
      </c>
    </row>
    <row r="766" spans="1:8" x14ac:dyDescent="0.2">
      <c r="A766" s="2" t="s">
        <v>828</v>
      </c>
      <c r="B766" s="2" t="s">
        <v>712</v>
      </c>
      <c r="C766" s="2" t="s">
        <v>37</v>
      </c>
      <c r="D766" s="3">
        <v>87</v>
      </c>
      <c r="E766" s="4" t="s">
        <v>38</v>
      </c>
      <c r="F766" s="5">
        <v>4.1100000000000003</v>
      </c>
      <c r="G766" s="4" t="s">
        <v>39</v>
      </c>
      <c r="H766" s="6">
        <f t="shared" si="11"/>
        <v>357.57000000000005</v>
      </c>
    </row>
    <row r="767" spans="1:8" x14ac:dyDescent="0.2">
      <c r="A767" s="2" t="s">
        <v>829</v>
      </c>
      <c r="B767" s="2" t="s">
        <v>712</v>
      </c>
      <c r="C767" s="2" t="s">
        <v>27</v>
      </c>
      <c r="D767" s="3">
        <v>4104</v>
      </c>
      <c r="E767" s="4" t="s">
        <v>20</v>
      </c>
      <c r="F767" s="5">
        <v>2.21</v>
      </c>
      <c r="G767" s="4" t="s">
        <v>21</v>
      </c>
      <c r="H767" s="6">
        <f t="shared" si="11"/>
        <v>9069.84</v>
      </c>
    </row>
    <row r="768" spans="1:8" x14ac:dyDescent="0.2">
      <c r="A768" s="2" t="s">
        <v>830</v>
      </c>
      <c r="B768" s="2" t="s">
        <v>831</v>
      </c>
      <c r="C768" s="2" t="s">
        <v>57</v>
      </c>
      <c r="D768" s="3">
        <v>4645</v>
      </c>
      <c r="E768" s="4" t="s">
        <v>20</v>
      </c>
      <c r="F768" s="5">
        <v>0.99</v>
      </c>
      <c r="G768" s="4" t="s">
        <v>21</v>
      </c>
      <c r="H768" s="6">
        <f t="shared" si="11"/>
        <v>4598.55</v>
      </c>
    </row>
    <row r="769" spans="1:8" x14ac:dyDescent="0.2">
      <c r="A769" s="2" t="s">
        <v>832</v>
      </c>
      <c r="B769" s="2" t="s">
        <v>831</v>
      </c>
      <c r="C769" s="2" t="s">
        <v>50</v>
      </c>
      <c r="D769" s="3">
        <v>4336</v>
      </c>
      <c r="E769" s="4" t="s">
        <v>20</v>
      </c>
      <c r="F769" s="5">
        <v>1.25</v>
      </c>
      <c r="G769" s="4" t="s">
        <v>21</v>
      </c>
      <c r="H769" s="6">
        <f t="shared" si="11"/>
        <v>5420</v>
      </c>
    </row>
    <row r="770" spans="1:8" x14ac:dyDescent="0.2">
      <c r="A770" s="2" t="s">
        <v>833</v>
      </c>
      <c r="B770" s="2" t="s">
        <v>831</v>
      </c>
      <c r="C770" s="2" t="s">
        <v>42</v>
      </c>
      <c r="D770" s="3">
        <v>1741</v>
      </c>
      <c r="E770" s="4" t="s">
        <v>24</v>
      </c>
      <c r="F770" s="5">
        <v>6.2</v>
      </c>
      <c r="G770" s="4" t="s">
        <v>25</v>
      </c>
      <c r="H770" s="6">
        <f t="shared" ref="H770:H833" si="12">D770*F770</f>
        <v>10794.2</v>
      </c>
    </row>
    <row r="771" spans="1:8" x14ac:dyDescent="0.2">
      <c r="A771" s="2" t="s">
        <v>834</v>
      </c>
      <c r="B771" s="2" t="s">
        <v>831</v>
      </c>
      <c r="C771" s="2" t="s">
        <v>46</v>
      </c>
      <c r="D771" s="3">
        <v>3905</v>
      </c>
      <c r="E771" s="4" t="s">
        <v>20</v>
      </c>
      <c r="F771" s="5">
        <v>2.54</v>
      </c>
      <c r="G771" s="4" t="s">
        <v>21</v>
      </c>
      <c r="H771" s="6">
        <f t="shared" si="12"/>
        <v>9918.7000000000007</v>
      </c>
    </row>
    <row r="772" spans="1:8" x14ac:dyDescent="0.2">
      <c r="A772" s="2" t="s">
        <v>835</v>
      </c>
      <c r="B772" s="2" t="s">
        <v>831</v>
      </c>
      <c r="C772" s="2" t="s">
        <v>27</v>
      </c>
      <c r="D772" s="3">
        <v>2306</v>
      </c>
      <c r="E772" s="4" t="s">
        <v>20</v>
      </c>
      <c r="F772" s="5">
        <v>2.2799999999999998</v>
      </c>
      <c r="G772" s="4" t="s">
        <v>21</v>
      </c>
      <c r="H772" s="6">
        <f t="shared" si="12"/>
        <v>5257.6799999999994</v>
      </c>
    </row>
    <row r="773" spans="1:8" x14ac:dyDescent="0.2">
      <c r="A773" s="2" t="s">
        <v>836</v>
      </c>
      <c r="B773" s="2" t="s">
        <v>831</v>
      </c>
      <c r="C773" s="2" t="s">
        <v>46</v>
      </c>
      <c r="D773" s="3">
        <v>279</v>
      </c>
      <c r="E773" s="4" t="s">
        <v>20</v>
      </c>
      <c r="F773" s="5">
        <v>2.36</v>
      </c>
      <c r="G773" s="4" t="s">
        <v>21</v>
      </c>
      <c r="H773" s="6">
        <f t="shared" si="12"/>
        <v>658.43999999999994</v>
      </c>
    </row>
    <row r="774" spans="1:8" x14ac:dyDescent="0.2">
      <c r="A774" s="2" t="s">
        <v>837</v>
      </c>
      <c r="B774" s="2" t="s">
        <v>831</v>
      </c>
      <c r="C774" s="2" t="s">
        <v>57</v>
      </c>
      <c r="D774" s="3">
        <v>138</v>
      </c>
      <c r="E774" s="4" t="s">
        <v>20</v>
      </c>
      <c r="F774" s="5">
        <v>0.98</v>
      </c>
      <c r="G774" s="4" t="s">
        <v>21</v>
      </c>
      <c r="H774" s="6">
        <f t="shared" si="12"/>
        <v>135.24</v>
      </c>
    </row>
    <row r="775" spans="1:8" x14ac:dyDescent="0.2">
      <c r="A775" s="2" t="s">
        <v>838</v>
      </c>
      <c r="B775" s="2" t="s">
        <v>831</v>
      </c>
      <c r="C775" s="2" t="s">
        <v>46</v>
      </c>
      <c r="D775" s="3">
        <v>1191</v>
      </c>
      <c r="E775" s="4" t="s">
        <v>20</v>
      </c>
      <c r="F775" s="5">
        <v>3.5</v>
      </c>
      <c r="G775" s="4" t="s">
        <v>21</v>
      </c>
      <c r="H775" s="6">
        <f t="shared" si="12"/>
        <v>4168.5</v>
      </c>
    </row>
    <row r="776" spans="1:8" x14ac:dyDescent="0.2">
      <c r="A776" s="2" t="s">
        <v>839</v>
      </c>
      <c r="B776" s="2" t="s">
        <v>831</v>
      </c>
      <c r="C776" s="2" t="s">
        <v>67</v>
      </c>
      <c r="D776" s="3">
        <v>640</v>
      </c>
      <c r="E776" s="4" t="s">
        <v>24</v>
      </c>
      <c r="F776" s="5">
        <v>0.39</v>
      </c>
      <c r="G776" s="4" t="s">
        <v>25</v>
      </c>
      <c r="H776" s="6">
        <f t="shared" si="12"/>
        <v>249.60000000000002</v>
      </c>
    </row>
    <row r="777" spans="1:8" x14ac:dyDescent="0.2">
      <c r="A777" s="2" t="s">
        <v>840</v>
      </c>
      <c r="B777" s="2" t="s">
        <v>831</v>
      </c>
      <c r="C777" s="2" t="s">
        <v>46</v>
      </c>
      <c r="D777" s="3">
        <v>1979</v>
      </c>
      <c r="E777" s="4" t="s">
        <v>20</v>
      </c>
      <c r="F777" s="5">
        <v>3.13</v>
      </c>
      <c r="G777" s="4" t="s">
        <v>21</v>
      </c>
      <c r="H777" s="6">
        <f t="shared" si="12"/>
        <v>6194.2699999999995</v>
      </c>
    </row>
    <row r="778" spans="1:8" x14ac:dyDescent="0.2">
      <c r="A778" s="2" t="s">
        <v>841</v>
      </c>
      <c r="B778" s="2" t="s">
        <v>831</v>
      </c>
      <c r="C778" s="2" t="s">
        <v>67</v>
      </c>
      <c r="D778" s="3">
        <v>4438</v>
      </c>
      <c r="E778" s="4" t="s">
        <v>24</v>
      </c>
      <c r="F778" s="5">
        <v>0.4</v>
      </c>
      <c r="G778" s="4" t="s">
        <v>25</v>
      </c>
      <c r="H778" s="6">
        <f t="shared" si="12"/>
        <v>1775.2</v>
      </c>
    </row>
    <row r="779" spans="1:8" x14ac:dyDescent="0.2">
      <c r="A779" s="2" t="s">
        <v>842</v>
      </c>
      <c r="B779" s="2" t="s">
        <v>831</v>
      </c>
      <c r="C779" s="2" t="s">
        <v>89</v>
      </c>
      <c r="D779" s="3">
        <v>652</v>
      </c>
      <c r="E779" s="4" t="s">
        <v>30</v>
      </c>
      <c r="F779" s="5">
        <v>2.4</v>
      </c>
      <c r="G779" s="4" t="s">
        <v>31</v>
      </c>
      <c r="H779" s="6">
        <f t="shared" si="12"/>
        <v>1564.8</v>
      </c>
    </row>
    <row r="780" spans="1:8" x14ac:dyDescent="0.2">
      <c r="A780" s="2" t="s">
        <v>843</v>
      </c>
      <c r="B780" s="2" t="s">
        <v>831</v>
      </c>
      <c r="C780" s="2" t="s">
        <v>19</v>
      </c>
      <c r="D780" s="3">
        <v>449</v>
      </c>
      <c r="E780" s="4" t="s">
        <v>20</v>
      </c>
      <c r="F780" s="5">
        <v>1.1599999999999999</v>
      </c>
      <c r="G780" s="4" t="s">
        <v>21</v>
      </c>
      <c r="H780" s="6">
        <f t="shared" si="12"/>
        <v>520.83999999999992</v>
      </c>
    </row>
    <row r="781" spans="1:8" x14ac:dyDescent="0.2">
      <c r="A781" s="2" t="s">
        <v>844</v>
      </c>
      <c r="B781" s="2" t="s">
        <v>831</v>
      </c>
      <c r="C781" s="2" t="s">
        <v>42</v>
      </c>
      <c r="D781" s="3">
        <v>632</v>
      </c>
      <c r="E781" s="4" t="s">
        <v>24</v>
      </c>
      <c r="F781" s="5">
        <v>4.5199999999999996</v>
      </c>
      <c r="G781" s="4" t="s">
        <v>25</v>
      </c>
      <c r="H781" s="6">
        <f t="shared" si="12"/>
        <v>2856.64</v>
      </c>
    </row>
    <row r="782" spans="1:8" x14ac:dyDescent="0.2">
      <c r="A782" s="2" t="s">
        <v>845</v>
      </c>
      <c r="B782" s="2" t="s">
        <v>831</v>
      </c>
      <c r="C782" s="2" t="s">
        <v>147</v>
      </c>
      <c r="D782" s="3">
        <v>4889</v>
      </c>
      <c r="E782" s="4" t="s">
        <v>53</v>
      </c>
      <c r="F782" s="5">
        <v>11.17</v>
      </c>
      <c r="G782" s="4" t="s">
        <v>54</v>
      </c>
      <c r="H782" s="6">
        <f t="shared" si="12"/>
        <v>54610.13</v>
      </c>
    </row>
    <row r="783" spans="1:8" x14ac:dyDescent="0.2">
      <c r="A783" s="2" t="s">
        <v>846</v>
      </c>
      <c r="B783" s="2" t="s">
        <v>831</v>
      </c>
      <c r="C783" s="2" t="s">
        <v>57</v>
      </c>
      <c r="D783" s="3">
        <v>252</v>
      </c>
      <c r="E783" s="4" t="s">
        <v>20</v>
      </c>
      <c r="F783" s="5">
        <v>0.85</v>
      </c>
      <c r="G783" s="4" t="s">
        <v>21</v>
      </c>
      <c r="H783" s="6">
        <f t="shared" si="12"/>
        <v>214.2</v>
      </c>
    </row>
    <row r="784" spans="1:8" x14ac:dyDescent="0.2">
      <c r="A784" s="2" t="s">
        <v>847</v>
      </c>
      <c r="B784" s="2" t="s">
        <v>831</v>
      </c>
      <c r="C784" s="2" t="s">
        <v>23</v>
      </c>
      <c r="D784" s="3">
        <v>4029</v>
      </c>
      <c r="E784" s="4" t="s">
        <v>24</v>
      </c>
      <c r="F784" s="5">
        <v>13.37</v>
      </c>
      <c r="G784" s="4" t="s">
        <v>25</v>
      </c>
      <c r="H784" s="6">
        <f t="shared" si="12"/>
        <v>53867.729999999996</v>
      </c>
    </row>
    <row r="785" spans="1:8" x14ac:dyDescent="0.2">
      <c r="A785" s="2" t="s">
        <v>848</v>
      </c>
      <c r="B785" s="2" t="s">
        <v>831</v>
      </c>
      <c r="C785" s="2" t="s">
        <v>29</v>
      </c>
      <c r="D785" s="3">
        <v>3085</v>
      </c>
      <c r="E785" s="4" t="s">
        <v>30</v>
      </c>
      <c r="F785" s="5">
        <v>1.52</v>
      </c>
      <c r="G785" s="4" t="s">
        <v>31</v>
      </c>
      <c r="H785" s="6">
        <f t="shared" si="12"/>
        <v>4689.2</v>
      </c>
    </row>
    <row r="786" spans="1:8" x14ac:dyDescent="0.2">
      <c r="A786" s="2" t="s">
        <v>849</v>
      </c>
      <c r="B786" s="2" t="s">
        <v>831</v>
      </c>
      <c r="C786" s="2" t="s">
        <v>46</v>
      </c>
      <c r="D786" s="3">
        <v>3123</v>
      </c>
      <c r="E786" s="4" t="s">
        <v>20</v>
      </c>
      <c r="F786" s="5">
        <v>2.17</v>
      </c>
      <c r="G786" s="4" t="s">
        <v>21</v>
      </c>
      <c r="H786" s="6">
        <f t="shared" si="12"/>
        <v>6776.91</v>
      </c>
    </row>
    <row r="787" spans="1:8" x14ac:dyDescent="0.2">
      <c r="A787" s="2" t="s">
        <v>850</v>
      </c>
      <c r="B787" s="2" t="s">
        <v>831</v>
      </c>
      <c r="C787" s="2" t="s">
        <v>147</v>
      </c>
      <c r="D787" s="3">
        <v>2429</v>
      </c>
      <c r="E787" s="4" t="s">
        <v>53</v>
      </c>
      <c r="F787" s="5">
        <v>14.38</v>
      </c>
      <c r="G787" s="4" t="s">
        <v>54</v>
      </c>
      <c r="H787" s="6">
        <f t="shared" si="12"/>
        <v>34929.020000000004</v>
      </c>
    </row>
    <row r="788" spans="1:8" x14ac:dyDescent="0.2">
      <c r="A788" s="2" t="s">
        <v>851</v>
      </c>
      <c r="B788" s="2" t="s">
        <v>831</v>
      </c>
      <c r="C788" s="2" t="s">
        <v>27</v>
      </c>
      <c r="D788" s="3">
        <v>682</v>
      </c>
      <c r="E788" s="4" t="s">
        <v>20</v>
      </c>
      <c r="F788" s="5">
        <v>1.52</v>
      </c>
      <c r="G788" s="4" t="s">
        <v>21</v>
      </c>
      <c r="H788" s="6">
        <f t="shared" si="12"/>
        <v>1036.6400000000001</v>
      </c>
    </row>
    <row r="789" spans="1:8" x14ac:dyDescent="0.2">
      <c r="A789" s="2" t="s">
        <v>852</v>
      </c>
      <c r="B789" s="2" t="s">
        <v>831</v>
      </c>
      <c r="C789" s="2" t="s">
        <v>67</v>
      </c>
      <c r="D789" s="3">
        <v>1273</v>
      </c>
      <c r="E789" s="4" t="s">
        <v>24</v>
      </c>
      <c r="F789" s="5">
        <v>0.52</v>
      </c>
      <c r="G789" s="4" t="s">
        <v>25</v>
      </c>
      <c r="H789" s="6">
        <f t="shared" si="12"/>
        <v>661.96</v>
      </c>
    </row>
    <row r="790" spans="1:8" x14ac:dyDescent="0.2">
      <c r="A790" s="2" t="s">
        <v>853</v>
      </c>
      <c r="B790" s="2" t="s">
        <v>831</v>
      </c>
      <c r="C790" s="2" t="s">
        <v>57</v>
      </c>
      <c r="D790" s="3">
        <v>2964</v>
      </c>
      <c r="E790" s="4" t="s">
        <v>20</v>
      </c>
      <c r="F790" s="5">
        <v>0.64</v>
      </c>
      <c r="G790" s="4" t="s">
        <v>21</v>
      </c>
      <c r="H790" s="6">
        <f t="shared" si="12"/>
        <v>1896.96</v>
      </c>
    </row>
    <row r="791" spans="1:8" x14ac:dyDescent="0.2">
      <c r="A791" s="2" t="s">
        <v>854</v>
      </c>
      <c r="B791" s="2" t="s">
        <v>831</v>
      </c>
      <c r="C791" s="2" t="s">
        <v>33</v>
      </c>
      <c r="D791" s="3">
        <v>2535</v>
      </c>
      <c r="E791" s="4" t="s">
        <v>34</v>
      </c>
      <c r="F791" s="5">
        <v>4.6100000000000003</v>
      </c>
      <c r="G791" s="4" t="s">
        <v>35</v>
      </c>
      <c r="H791" s="6">
        <f t="shared" si="12"/>
        <v>11686.35</v>
      </c>
    </row>
    <row r="792" spans="1:8" x14ac:dyDescent="0.2">
      <c r="A792" s="2" t="s">
        <v>855</v>
      </c>
      <c r="B792" s="2" t="s">
        <v>831</v>
      </c>
      <c r="C792" s="2" t="s">
        <v>86</v>
      </c>
      <c r="D792" s="3">
        <v>847</v>
      </c>
      <c r="E792" s="4" t="s">
        <v>72</v>
      </c>
      <c r="F792" s="5">
        <v>7985.51</v>
      </c>
      <c r="G792" s="4" t="s">
        <v>73</v>
      </c>
      <c r="H792" s="6">
        <f t="shared" si="12"/>
        <v>6763726.9699999997</v>
      </c>
    </row>
    <row r="793" spans="1:8" x14ac:dyDescent="0.2">
      <c r="A793" s="2" t="s">
        <v>856</v>
      </c>
      <c r="B793" s="2" t="s">
        <v>831</v>
      </c>
      <c r="C793" s="2" t="s">
        <v>118</v>
      </c>
      <c r="D793" s="3">
        <v>3540</v>
      </c>
      <c r="E793" s="4" t="s">
        <v>24</v>
      </c>
      <c r="F793" s="5">
        <v>0.71</v>
      </c>
      <c r="G793" s="4" t="s">
        <v>25</v>
      </c>
      <c r="H793" s="6">
        <f t="shared" si="12"/>
        <v>2513.4</v>
      </c>
    </row>
    <row r="794" spans="1:8" x14ac:dyDescent="0.2">
      <c r="A794" s="2" t="s">
        <v>857</v>
      </c>
      <c r="B794" s="2" t="s">
        <v>831</v>
      </c>
      <c r="C794" s="2" t="s">
        <v>29</v>
      </c>
      <c r="D794" s="3">
        <v>4207</v>
      </c>
      <c r="E794" s="4" t="s">
        <v>30</v>
      </c>
      <c r="F794" s="5">
        <v>1.49</v>
      </c>
      <c r="G794" s="4" t="s">
        <v>31</v>
      </c>
      <c r="H794" s="6">
        <f t="shared" si="12"/>
        <v>6268.43</v>
      </c>
    </row>
    <row r="795" spans="1:8" x14ac:dyDescent="0.2">
      <c r="A795" s="2" t="s">
        <v>858</v>
      </c>
      <c r="B795" s="2" t="s">
        <v>831</v>
      </c>
      <c r="C795" s="2" t="s">
        <v>33</v>
      </c>
      <c r="D795" s="3">
        <v>744</v>
      </c>
      <c r="E795" s="4" t="s">
        <v>34</v>
      </c>
      <c r="F795" s="5">
        <v>4.38</v>
      </c>
      <c r="G795" s="4" t="s">
        <v>35</v>
      </c>
      <c r="H795" s="6">
        <f t="shared" si="12"/>
        <v>3258.72</v>
      </c>
    </row>
    <row r="796" spans="1:8" x14ac:dyDescent="0.2">
      <c r="A796" s="2" t="s">
        <v>859</v>
      </c>
      <c r="B796" s="2" t="s">
        <v>831</v>
      </c>
      <c r="C796" s="2" t="s">
        <v>27</v>
      </c>
      <c r="D796" s="3">
        <v>4900</v>
      </c>
      <c r="E796" s="4" t="s">
        <v>20</v>
      </c>
      <c r="F796" s="5">
        <v>1.92</v>
      </c>
      <c r="G796" s="4" t="s">
        <v>21</v>
      </c>
      <c r="H796" s="6">
        <f t="shared" si="12"/>
        <v>9408</v>
      </c>
    </row>
    <row r="797" spans="1:8" x14ac:dyDescent="0.2">
      <c r="A797" s="2" t="s">
        <v>860</v>
      </c>
      <c r="B797" s="2" t="s">
        <v>831</v>
      </c>
      <c r="C797" s="2" t="s">
        <v>57</v>
      </c>
      <c r="D797" s="3">
        <v>3165</v>
      </c>
      <c r="E797" s="4" t="s">
        <v>20</v>
      </c>
      <c r="F797" s="5">
        <v>0.6</v>
      </c>
      <c r="G797" s="4" t="s">
        <v>21</v>
      </c>
      <c r="H797" s="6">
        <f t="shared" si="12"/>
        <v>1899</v>
      </c>
    </row>
    <row r="798" spans="1:8" x14ac:dyDescent="0.2">
      <c r="A798" s="2" t="s">
        <v>861</v>
      </c>
      <c r="B798" s="2" t="s">
        <v>831</v>
      </c>
      <c r="C798" s="2" t="s">
        <v>52</v>
      </c>
      <c r="D798" s="3">
        <v>3186</v>
      </c>
      <c r="E798" s="4" t="s">
        <v>53</v>
      </c>
      <c r="F798" s="5">
        <v>12.9</v>
      </c>
      <c r="G798" s="4" t="s">
        <v>54</v>
      </c>
      <c r="H798" s="6">
        <f t="shared" si="12"/>
        <v>41099.4</v>
      </c>
    </row>
    <row r="799" spans="1:8" x14ac:dyDescent="0.2">
      <c r="A799" s="2" t="s">
        <v>862</v>
      </c>
      <c r="B799" s="2" t="s">
        <v>831</v>
      </c>
      <c r="C799" s="2" t="s">
        <v>29</v>
      </c>
      <c r="D799" s="3">
        <v>1998</v>
      </c>
      <c r="E799" s="4" t="s">
        <v>30</v>
      </c>
      <c r="F799" s="5">
        <v>1.69</v>
      </c>
      <c r="G799" s="4" t="s">
        <v>31</v>
      </c>
      <c r="H799" s="6">
        <f t="shared" si="12"/>
        <v>3376.62</v>
      </c>
    </row>
    <row r="800" spans="1:8" x14ac:dyDescent="0.2">
      <c r="A800" s="2" t="s">
        <v>863</v>
      </c>
      <c r="B800" s="2" t="s">
        <v>831</v>
      </c>
      <c r="C800" s="2" t="s">
        <v>118</v>
      </c>
      <c r="D800" s="3">
        <v>3128</v>
      </c>
      <c r="E800" s="4" t="s">
        <v>24</v>
      </c>
      <c r="F800" s="5">
        <v>0.52</v>
      </c>
      <c r="G800" s="4" t="s">
        <v>25</v>
      </c>
      <c r="H800" s="6">
        <f t="shared" si="12"/>
        <v>1626.56</v>
      </c>
    </row>
    <row r="801" spans="1:8" x14ac:dyDescent="0.2">
      <c r="A801" s="2" t="s">
        <v>864</v>
      </c>
      <c r="B801" s="2" t="s">
        <v>831</v>
      </c>
      <c r="C801" s="2" t="s">
        <v>86</v>
      </c>
      <c r="D801" s="3">
        <v>2476</v>
      </c>
      <c r="E801" s="4" t="s">
        <v>72</v>
      </c>
      <c r="F801" s="5">
        <v>8175.77</v>
      </c>
      <c r="G801" s="4" t="s">
        <v>73</v>
      </c>
      <c r="H801" s="6">
        <f t="shared" si="12"/>
        <v>20243206.52</v>
      </c>
    </row>
    <row r="802" spans="1:8" x14ac:dyDescent="0.2">
      <c r="A802" s="2" t="s">
        <v>865</v>
      </c>
      <c r="B802" s="2" t="s">
        <v>831</v>
      </c>
      <c r="C802" s="2" t="s">
        <v>89</v>
      </c>
      <c r="D802" s="3">
        <v>528</v>
      </c>
      <c r="E802" s="4" t="s">
        <v>30</v>
      </c>
      <c r="F802" s="5">
        <v>2</v>
      </c>
      <c r="G802" s="4" t="s">
        <v>31</v>
      </c>
      <c r="H802" s="6">
        <f t="shared" si="12"/>
        <v>1056</v>
      </c>
    </row>
    <row r="803" spans="1:8" x14ac:dyDescent="0.2">
      <c r="A803" s="2" t="s">
        <v>866</v>
      </c>
      <c r="B803" s="2" t="s">
        <v>831</v>
      </c>
      <c r="C803" s="2" t="s">
        <v>86</v>
      </c>
      <c r="D803" s="3">
        <v>3459</v>
      </c>
      <c r="E803" s="4" t="s">
        <v>72</v>
      </c>
      <c r="F803" s="5">
        <v>8219.65</v>
      </c>
      <c r="G803" s="4" t="s">
        <v>73</v>
      </c>
      <c r="H803" s="6">
        <f t="shared" si="12"/>
        <v>28431769.349999998</v>
      </c>
    </row>
    <row r="804" spans="1:8" x14ac:dyDescent="0.2">
      <c r="A804" s="2" t="s">
        <v>867</v>
      </c>
      <c r="B804" s="2" t="s">
        <v>831</v>
      </c>
      <c r="C804" s="2" t="s">
        <v>27</v>
      </c>
      <c r="D804" s="3">
        <v>2968</v>
      </c>
      <c r="E804" s="4" t="s">
        <v>20</v>
      </c>
      <c r="F804" s="5">
        <v>1.5</v>
      </c>
      <c r="G804" s="4" t="s">
        <v>21</v>
      </c>
      <c r="H804" s="6">
        <f t="shared" si="12"/>
        <v>4452</v>
      </c>
    </row>
    <row r="805" spans="1:8" x14ac:dyDescent="0.2">
      <c r="A805" s="2" t="s">
        <v>868</v>
      </c>
      <c r="B805" s="2" t="s">
        <v>831</v>
      </c>
      <c r="C805" s="2" t="s">
        <v>42</v>
      </c>
      <c r="D805" s="3">
        <v>4071</v>
      </c>
      <c r="E805" s="4" t="s">
        <v>24</v>
      </c>
      <c r="F805" s="5">
        <v>5.28</v>
      </c>
      <c r="G805" s="4" t="s">
        <v>25</v>
      </c>
      <c r="H805" s="6">
        <f t="shared" si="12"/>
        <v>21494.880000000001</v>
      </c>
    </row>
    <row r="806" spans="1:8" x14ac:dyDescent="0.2">
      <c r="A806" s="2" t="s">
        <v>869</v>
      </c>
      <c r="B806" s="2" t="s">
        <v>831</v>
      </c>
      <c r="C806" s="2" t="s">
        <v>44</v>
      </c>
      <c r="D806" s="3">
        <v>3760</v>
      </c>
      <c r="E806" s="4" t="s">
        <v>24</v>
      </c>
      <c r="F806" s="5">
        <v>0.97</v>
      </c>
      <c r="G806" s="4" t="s">
        <v>25</v>
      </c>
      <c r="H806" s="6">
        <f t="shared" si="12"/>
        <v>3647.2</v>
      </c>
    </row>
    <row r="807" spans="1:8" x14ac:dyDescent="0.2">
      <c r="A807" s="2" t="s">
        <v>870</v>
      </c>
      <c r="B807" s="2" t="s">
        <v>831</v>
      </c>
      <c r="C807" s="2" t="s">
        <v>71</v>
      </c>
      <c r="D807" s="3">
        <v>65</v>
      </c>
      <c r="E807" s="4" t="s">
        <v>72</v>
      </c>
      <c r="F807" s="5">
        <v>2969.29</v>
      </c>
      <c r="G807" s="4" t="s">
        <v>73</v>
      </c>
      <c r="H807" s="6">
        <f t="shared" si="12"/>
        <v>193003.85</v>
      </c>
    </row>
    <row r="808" spans="1:8" x14ac:dyDescent="0.2">
      <c r="A808" s="2" t="s">
        <v>871</v>
      </c>
      <c r="B808" s="2" t="s">
        <v>831</v>
      </c>
      <c r="C808" s="2" t="s">
        <v>57</v>
      </c>
      <c r="D808" s="3">
        <v>3122</v>
      </c>
      <c r="E808" s="4" t="s">
        <v>20</v>
      </c>
      <c r="F808" s="5">
        <v>0.92</v>
      </c>
      <c r="G808" s="4" t="s">
        <v>21</v>
      </c>
      <c r="H808" s="6">
        <f t="shared" si="12"/>
        <v>2872.2400000000002</v>
      </c>
    </row>
    <row r="809" spans="1:8" x14ac:dyDescent="0.2">
      <c r="A809" s="2" t="s">
        <v>872</v>
      </c>
      <c r="B809" s="2" t="s">
        <v>831</v>
      </c>
      <c r="C809" s="2" t="s">
        <v>57</v>
      </c>
      <c r="D809" s="3">
        <v>3616</v>
      </c>
      <c r="E809" s="4" t="s">
        <v>20</v>
      </c>
      <c r="F809" s="5">
        <v>0.73</v>
      </c>
      <c r="G809" s="4" t="s">
        <v>21</v>
      </c>
      <c r="H809" s="6">
        <f t="shared" si="12"/>
        <v>2639.68</v>
      </c>
    </row>
    <row r="810" spans="1:8" x14ac:dyDescent="0.2">
      <c r="A810" s="2" t="s">
        <v>873</v>
      </c>
      <c r="B810" s="2" t="s">
        <v>831</v>
      </c>
      <c r="C810" s="2" t="s">
        <v>147</v>
      </c>
      <c r="D810" s="3">
        <v>1125</v>
      </c>
      <c r="E810" s="4" t="s">
        <v>53</v>
      </c>
      <c r="F810" s="5">
        <v>10.4</v>
      </c>
      <c r="G810" s="4" t="s">
        <v>54</v>
      </c>
      <c r="H810" s="6">
        <f t="shared" si="12"/>
        <v>11700</v>
      </c>
    </row>
    <row r="811" spans="1:8" x14ac:dyDescent="0.2">
      <c r="A811" s="2" t="s">
        <v>874</v>
      </c>
      <c r="B811" s="2" t="s">
        <v>831</v>
      </c>
      <c r="C811" s="2" t="s">
        <v>147</v>
      </c>
      <c r="D811" s="3">
        <v>1655</v>
      </c>
      <c r="E811" s="4" t="s">
        <v>53</v>
      </c>
      <c r="F811" s="5">
        <v>11.83</v>
      </c>
      <c r="G811" s="4" t="s">
        <v>54</v>
      </c>
      <c r="H811" s="6">
        <f t="shared" si="12"/>
        <v>19578.650000000001</v>
      </c>
    </row>
    <row r="812" spans="1:8" x14ac:dyDescent="0.2">
      <c r="A812" s="2" t="s">
        <v>875</v>
      </c>
      <c r="B812" s="2" t="s">
        <v>831</v>
      </c>
      <c r="C812" s="2" t="s">
        <v>118</v>
      </c>
      <c r="D812" s="3">
        <v>3272</v>
      </c>
      <c r="E812" s="4" t="s">
        <v>24</v>
      </c>
      <c r="F812" s="5">
        <v>1.08</v>
      </c>
      <c r="G812" s="4" t="s">
        <v>25</v>
      </c>
      <c r="H812" s="6">
        <f t="shared" si="12"/>
        <v>3533.76</v>
      </c>
    </row>
    <row r="813" spans="1:8" x14ac:dyDescent="0.2">
      <c r="A813" s="2" t="s">
        <v>876</v>
      </c>
      <c r="B813" s="2" t="s">
        <v>831</v>
      </c>
      <c r="C813" s="2" t="s">
        <v>71</v>
      </c>
      <c r="D813" s="3">
        <v>4032</v>
      </c>
      <c r="E813" s="4" t="s">
        <v>72</v>
      </c>
      <c r="F813" s="5">
        <v>2980.66</v>
      </c>
      <c r="G813" s="4" t="s">
        <v>73</v>
      </c>
      <c r="H813" s="6">
        <f t="shared" si="12"/>
        <v>12018021.119999999</v>
      </c>
    </row>
    <row r="814" spans="1:8" x14ac:dyDescent="0.2">
      <c r="A814" s="2" t="s">
        <v>877</v>
      </c>
      <c r="B814" s="2" t="s">
        <v>831</v>
      </c>
      <c r="C814" s="2" t="s">
        <v>42</v>
      </c>
      <c r="D814" s="3">
        <v>2679</v>
      </c>
      <c r="E814" s="4" t="s">
        <v>24</v>
      </c>
      <c r="F814" s="5">
        <v>4.63</v>
      </c>
      <c r="G814" s="4" t="s">
        <v>25</v>
      </c>
      <c r="H814" s="6">
        <f t="shared" si="12"/>
        <v>12403.77</v>
      </c>
    </row>
    <row r="815" spans="1:8" x14ac:dyDescent="0.2">
      <c r="A815" s="2" t="s">
        <v>878</v>
      </c>
      <c r="B815" s="2" t="s">
        <v>831</v>
      </c>
      <c r="C815" s="2" t="s">
        <v>67</v>
      </c>
      <c r="D815" s="3">
        <v>3000</v>
      </c>
      <c r="E815" s="4" t="s">
        <v>24</v>
      </c>
      <c r="F815" s="5">
        <v>0.33</v>
      </c>
      <c r="G815" s="4" t="s">
        <v>25</v>
      </c>
      <c r="H815" s="6">
        <f t="shared" si="12"/>
        <v>990</v>
      </c>
    </row>
    <row r="816" spans="1:8" x14ac:dyDescent="0.2">
      <c r="A816" s="2" t="s">
        <v>879</v>
      </c>
      <c r="B816" s="2" t="s">
        <v>831</v>
      </c>
      <c r="C816" s="2" t="s">
        <v>46</v>
      </c>
      <c r="D816" s="3">
        <v>1646</v>
      </c>
      <c r="E816" s="4" t="s">
        <v>20</v>
      </c>
      <c r="F816" s="5">
        <v>3.18</v>
      </c>
      <c r="G816" s="4" t="s">
        <v>21</v>
      </c>
      <c r="H816" s="6">
        <f t="shared" si="12"/>
        <v>5234.2800000000007</v>
      </c>
    </row>
    <row r="817" spans="1:8" x14ac:dyDescent="0.2">
      <c r="A817" s="2" t="s">
        <v>880</v>
      </c>
      <c r="B817" s="2" t="s">
        <v>831</v>
      </c>
      <c r="C817" s="2" t="s">
        <v>29</v>
      </c>
      <c r="D817" s="3">
        <v>1483</v>
      </c>
      <c r="E817" s="4" t="s">
        <v>30</v>
      </c>
      <c r="F817" s="5">
        <v>1.82</v>
      </c>
      <c r="G817" s="4" t="s">
        <v>31</v>
      </c>
      <c r="H817" s="6">
        <f t="shared" si="12"/>
        <v>2699.06</v>
      </c>
    </row>
    <row r="818" spans="1:8" x14ac:dyDescent="0.2">
      <c r="A818" s="2" t="s">
        <v>881</v>
      </c>
      <c r="B818" s="2" t="s">
        <v>831</v>
      </c>
      <c r="C818" s="2" t="s">
        <v>29</v>
      </c>
      <c r="D818" s="3">
        <v>230</v>
      </c>
      <c r="E818" s="4" t="s">
        <v>30</v>
      </c>
      <c r="F818" s="5">
        <v>2.14</v>
      </c>
      <c r="G818" s="4" t="s">
        <v>31</v>
      </c>
      <c r="H818" s="6">
        <f t="shared" si="12"/>
        <v>492.20000000000005</v>
      </c>
    </row>
    <row r="819" spans="1:8" x14ac:dyDescent="0.2">
      <c r="A819" s="2" t="s">
        <v>882</v>
      </c>
      <c r="B819" s="2" t="s">
        <v>831</v>
      </c>
      <c r="C819" s="2" t="s">
        <v>23</v>
      </c>
      <c r="D819" s="3">
        <v>1727</v>
      </c>
      <c r="E819" s="4" t="s">
        <v>24</v>
      </c>
      <c r="F819" s="5">
        <v>14.63</v>
      </c>
      <c r="G819" s="4" t="s">
        <v>25</v>
      </c>
      <c r="H819" s="6">
        <f t="shared" si="12"/>
        <v>25266.010000000002</v>
      </c>
    </row>
    <row r="820" spans="1:8" x14ac:dyDescent="0.2">
      <c r="A820" s="2" t="s">
        <v>883</v>
      </c>
      <c r="B820" s="2" t="s">
        <v>831</v>
      </c>
      <c r="C820" s="2" t="s">
        <v>71</v>
      </c>
      <c r="D820" s="3">
        <v>576</v>
      </c>
      <c r="E820" s="4" t="s">
        <v>72</v>
      </c>
      <c r="F820" s="5">
        <v>2891.38</v>
      </c>
      <c r="G820" s="4" t="s">
        <v>73</v>
      </c>
      <c r="H820" s="6">
        <f t="shared" si="12"/>
        <v>1665434.8800000001</v>
      </c>
    </row>
    <row r="821" spans="1:8" x14ac:dyDescent="0.2">
      <c r="A821" s="2" t="s">
        <v>884</v>
      </c>
      <c r="B821" s="2" t="s">
        <v>831</v>
      </c>
      <c r="C821" s="2" t="s">
        <v>52</v>
      </c>
      <c r="D821" s="3">
        <v>4100</v>
      </c>
      <c r="E821" s="4" t="s">
        <v>53</v>
      </c>
      <c r="F821" s="5">
        <v>9.6999999999999993</v>
      </c>
      <c r="G821" s="4" t="s">
        <v>54</v>
      </c>
      <c r="H821" s="6">
        <f t="shared" si="12"/>
        <v>39770</v>
      </c>
    </row>
    <row r="822" spans="1:8" x14ac:dyDescent="0.2">
      <c r="A822" s="2" t="s">
        <v>885</v>
      </c>
      <c r="B822" s="2" t="s">
        <v>831</v>
      </c>
      <c r="C822" s="2" t="s">
        <v>71</v>
      </c>
      <c r="D822" s="3">
        <v>1992</v>
      </c>
      <c r="E822" s="4" t="s">
        <v>72</v>
      </c>
      <c r="F822" s="5">
        <v>2551.61</v>
      </c>
      <c r="G822" s="4" t="s">
        <v>73</v>
      </c>
      <c r="H822" s="6">
        <f t="shared" si="12"/>
        <v>5082807.12</v>
      </c>
    </row>
    <row r="823" spans="1:8" x14ac:dyDescent="0.2">
      <c r="A823" s="2" t="s">
        <v>886</v>
      </c>
      <c r="B823" s="2" t="s">
        <v>831</v>
      </c>
      <c r="C823" s="2" t="s">
        <v>89</v>
      </c>
      <c r="D823" s="3">
        <v>3476</v>
      </c>
      <c r="E823" s="4" t="s">
        <v>30</v>
      </c>
      <c r="F823" s="5">
        <v>2.75</v>
      </c>
      <c r="G823" s="4" t="s">
        <v>31</v>
      </c>
      <c r="H823" s="6">
        <f t="shared" si="12"/>
        <v>9559</v>
      </c>
    </row>
    <row r="824" spans="1:8" x14ac:dyDescent="0.2">
      <c r="A824" s="2" t="s">
        <v>887</v>
      </c>
      <c r="B824" s="2" t="s">
        <v>831</v>
      </c>
      <c r="C824" s="2" t="s">
        <v>27</v>
      </c>
      <c r="D824" s="3">
        <v>3688</v>
      </c>
      <c r="E824" s="4" t="s">
        <v>20</v>
      </c>
      <c r="F824" s="5">
        <v>2.39</v>
      </c>
      <c r="G824" s="4" t="s">
        <v>21</v>
      </c>
      <c r="H824" s="6">
        <f t="shared" si="12"/>
        <v>8814.32</v>
      </c>
    </row>
    <row r="825" spans="1:8" x14ac:dyDescent="0.2">
      <c r="A825" s="2" t="s">
        <v>888</v>
      </c>
      <c r="B825" s="2" t="s">
        <v>831</v>
      </c>
      <c r="C825" s="2" t="s">
        <v>48</v>
      </c>
      <c r="D825" s="3">
        <v>4779</v>
      </c>
      <c r="E825" s="4" t="s">
        <v>24</v>
      </c>
      <c r="F825" s="5">
        <v>0.11</v>
      </c>
      <c r="G825" s="4" t="s">
        <v>25</v>
      </c>
      <c r="H825" s="6">
        <f t="shared" si="12"/>
        <v>525.69000000000005</v>
      </c>
    </row>
    <row r="826" spans="1:8" x14ac:dyDescent="0.2">
      <c r="A826" s="2" t="s">
        <v>889</v>
      </c>
      <c r="B826" s="2" t="s">
        <v>831</v>
      </c>
      <c r="C826" s="2" t="s">
        <v>78</v>
      </c>
      <c r="D826" s="3">
        <v>3436</v>
      </c>
      <c r="E826" s="4" t="s">
        <v>38</v>
      </c>
      <c r="F826" s="5">
        <v>2.42</v>
      </c>
      <c r="G826" s="4" t="s">
        <v>39</v>
      </c>
      <c r="H826" s="6">
        <f t="shared" si="12"/>
        <v>8315.119999999999</v>
      </c>
    </row>
    <row r="827" spans="1:8" x14ac:dyDescent="0.2">
      <c r="A827" s="2" t="s">
        <v>890</v>
      </c>
      <c r="B827" s="2" t="s">
        <v>831</v>
      </c>
      <c r="C827" s="2" t="s">
        <v>19</v>
      </c>
      <c r="D827" s="3">
        <v>4408</v>
      </c>
      <c r="E827" s="4" t="s">
        <v>20</v>
      </c>
      <c r="F827" s="5">
        <v>1.46</v>
      </c>
      <c r="G827" s="4" t="s">
        <v>21</v>
      </c>
      <c r="H827" s="6">
        <f t="shared" si="12"/>
        <v>6435.68</v>
      </c>
    </row>
    <row r="828" spans="1:8" x14ac:dyDescent="0.2">
      <c r="A828" s="2" t="s">
        <v>891</v>
      </c>
      <c r="B828" s="2" t="s">
        <v>831</v>
      </c>
      <c r="C828" s="2" t="s">
        <v>27</v>
      </c>
      <c r="D828" s="3">
        <v>905</v>
      </c>
      <c r="E828" s="4" t="s">
        <v>20</v>
      </c>
      <c r="F828" s="5">
        <v>2.12</v>
      </c>
      <c r="G828" s="4" t="s">
        <v>21</v>
      </c>
      <c r="H828" s="6">
        <f t="shared" si="12"/>
        <v>1918.6000000000001</v>
      </c>
    </row>
    <row r="829" spans="1:8" x14ac:dyDescent="0.2">
      <c r="A829" s="2" t="s">
        <v>892</v>
      </c>
      <c r="B829" s="2" t="s">
        <v>831</v>
      </c>
      <c r="C829" s="2" t="s">
        <v>19</v>
      </c>
      <c r="D829" s="3">
        <v>1372</v>
      </c>
      <c r="E829" s="4" t="s">
        <v>20</v>
      </c>
      <c r="F829" s="5">
        <v>1.49</v>
      </c>
      <c r="G829" s="4" t="s">
        <v>21</v>
      </c>
      <c r="H829" s="6">
        <f t="shared" si="12"/>
        <v>2044.28</v>
      </c>
    </row>
    <row r="830" spans="1:8" x14ac:dyDescent="0.2">
      <c r="A830" s="2" t="s">
        <v>893</v>
      </c>
      <c r="B830" s="2" t="s">
        <v>831</v>
      </c>
      <c r="C830" s="2" t="s">
        <v>37</v>
      </c>
      <c r="D830" s="3">
        <v>4623</v>
      </c>
      <c r="E830" s="4" t="s">
        <v>38</v>
      </c>
      <c r="F830" s="5">
        <v>4.95</v>
      </c>
      <c r="G830" s="4" t="s">
        <v>39</v>
      </c>
      <c r="H830" s="6">
        <f t="shared" si="12"/>
        <v>22883.850000000002</v>
      </c>
    </row>
    <row r="831" spans="1:8" x14ac:dyDescent="0.2">
      <c r="A831" s="2" t="s">
        <v>894</v>
      </c>
      <c r="B831" s="2" t="s">
        <v>831</v>
      </c>
      <c r="C831" s="2" t="s">
        <v>67</v>
      </c>
      <c r="D831" s="3">
        <v>2726</v>
      </c>
      <c r="E831" s="4" t="s">
        <v>24</v>
      </c>
      <c r="F831" s="5">
        <v>0.59</v>
      </c>
      <c r="G831" s="4" t="s">
        <v>25</v>
      </c>
      <c r="H831" s="6">
        <f t="shared" si="12"/>
        <v>1608.34</v>
      </c>
    </row>
    <row r="832" spans="1:8" x14ac:dyDescent="0.2">
      <c r="A832" s="2" t="s">
        <v>895</v>
      </c>
      <c r="B832" s="2" t="s">
        <v>831</v>
      </c>
      <c r="C832" s="2" t="s">
        <v>52</v>
      </c>
      <c r="D832" s="3">
        <v>877</v>
      </c>
      <c r="E832" s="4" t="s">
        <v>53</v>
      </c>
      <c r="F832" s="5">
        <v>9.0500000000000007</v>
      </c>
      <c r="G832" s="4" t="s">
        <v>54</v>
      </c>
      <c r="H832" s="6">
        <f t="shared" si="12"/>
        <v>7936.85</v>
      </c>
    </row>
    <row r="833" spans="1:8" x14ac:dyDescent="0.2">
      <c r="A833" s="2" t="s">
        <v>896</v>
      </c>
      <c r="B833" s="2" t="s">
        <v>831</v>
      </c>
      <c r="C833" s="2" t="s">
        <v>86</v>
      </c>
      <c r="D833" s="3">
        <v>1828</v>
      </c>
      <c r="E833" s="4" t="s">
        <v>72</v>
      </c>
      <c r="F833" s="5">
        <v>8514.9500000000007</v>
      </c>
      <c r="G833" s="4" t="s">
        <v>73</v>
      </c>
      <c r="H833" s="6">
        <f t="shared" si="12"/>
        <v>15565328.600000001</v>
      </c>
    </row>
    <row r="834" spans="1:8" x14ac:dyDescent="0.2">
      <c r="A834" s="2" t="s">
        <v>897</v>
      </c>
      <c r="B834" s="2" t="s">
        <v>831</v>
      </c>
      <c r="C834" s="2" t="s">
        <v>78</v>
      </c>
      <c r="D834" s="3">
        <v>4581</v>
      </c>
      <c r="E834" s="4" t="s">
        <v>38</v>
      </c>
      <c r="F834" s="5">
        <v>2.4900000000000002</v>
      </c>
      <c r="G834" s="4" t="s">
        <v>39</v>
      </c>
      <c r="H834" s="6">
        <f t="shared" ref="H834:H897" si="13">D834*F834</f>
        <v>11406.69</v>
      </c>
    </row>
    <row r="835" spans="1:8" x14ac:dyDescent="0.2">
      <c r="A835" s="2" t="s">
        <v>898</v>
      </c>
      <c r="B835" s="2" t="s">
        <v>831</v>
      </c>
      <c r="C835" s="2" t="s">
        <v>46</v>
      </c>
      <c r="D835" s="3">
        <v>1820</v>
      </c>
      <c r="E835" s="4" t="s">
        <v>20</v>
      </c>
      <c r="F835" s="5">
        <v>2.89</v>
      </c>
      <c r="G835" s="4" t="s">
        <v>21</v>
      </c>
      <c r="H835" s="6">
        <f t="shared" si="13"/>
        <v>5259.8</v>
      </c>
    </row>
    <row r="836" spans="1:8" x14ac:dyDescent="0.2">
      <c r="A836" s="2" t="s">
        <v>899</v>
      </c>
      <c r="B836" s="2" t="s">
        <v>900</v>
      </c>
      <c r="C836" s="2" t="s">
        <v>67</v>
      </c>
      <c r="D836" s="3">
        <v>3803</v>
      </c>
      <c r="E836" s="4" t="s">
        <v>24</v>
      </c>
      <c r="F836" s="5">
        <v>0.53</v>
      </c>
      <c r="G836" s="4" t="s">
        <v>25</v>
      </c>
      <c r="H836" s="6">
        <f t="shared" si="13"/>
        <v>2015.5900000000001</v>
      </c>
    </row>
    <row r="837" spans="1:8" x14ac:dyDescent="0.2">
      <c r="A837" s="2" t="s">
        <v>901</v>
      </c>
      <c r="B837" s="2" t="s">
        <v>900</v>
      </c>
      <c r="C837" s="2" t="s">
        <v>46</v>
      </c>
      <c r="D837" s="3">
        <v>4109</v>
      </c>
      <c r="E837" s="4" t="s">
        <v>20</v>
      </c>
      <c r="F837" s="5">
        <v>2.2999999999999998</v>
      </c>
      <c r="G837" s="4" t="s">
        <v>21</v>
      </c>
      <c r="H837" s="6">
        <f t="shared" si="13"/>
        <v>9450.6999999999989</v>
      </c>
    </row>
    <row r="838" spans="1:8" x14ac:dyDescent="0.2">
      <c r="A838" s="2" t="s">
        <v>902</v>
      </c>
      <c r="B838" s="2" t="s">
        <v>900</v>
      </c>
      <c r="C838" s="2" t="s">
        <v>33</v>
      </c>
      <c r="D838" s="3">
        <v>3964</v>
      </c>
      <c r="E838" s="4" t="s">
        <v>34</v>
      </c>
      <c r="F838" s="5">
        <v>3.76</v>
      </c>
      <c r="G838" s="4" t="s">
        <v>35</v>
      </c>
      <c r="H838" s="6">
        <f t="shared" si="13"/>
        <v>14904.64</v>
      </c>
    </row>
    <row r="839" spans="1:8" x14ac:dyDescent="0.2">
      <c r="A839" s="2" t="s">
        <v>903</v>
      </c>
      <c r="B839" s="2" t="s">
        <v>900</v>
      </c>
      <c r="C839" s="2" t="s">
        <v>52</v>
      </c>
      <c r="D839" s="3">
        <v>713</v>
      </c>
      <c r="E839" s="4" t="s">
        <v>53</v>
      </c>
      <c r="F839" s="5">
        <v>9.58</v>
      </c>
      <c r="G839" s="4" t="s">
        <v>54</v>
      </c>
      <c r="H839" s="6">
        <f t="shared" si="13"/>
        <v>6830.54</v>
      </c>
    </row>
    <row r="840" spans="1:8" x14ac:dyDescent="0.2">
      <c r="A840" s="2" t="s">
        <v>904</v>
      </c>
      <c r="B840" s="2" t="s">
        <v>900</v>
      </c>
      <c r="C840" s="2" t="s">
        <v>89</v>
      </c>
      <c r="D840" s="3">
        <v>2863</v>
      </c>
      <c r="E840" s="4" t="s">
        <v>30</v>
      </c>
      <c r="F840" s="5">
        <v>2.17</v>
      </c>
      <c r="G840" s="4" t="s">
        <v>31</v>
      </c>
      <c r="H840" s="6">
        <f t="shared" si="13"/>
        <v>6212.71</v>
      </c>
    </row>
    <row r="841" spans="1:8" x14ac:dyDescent="0.2">
      <c r="A841" s="2" t="s">
        <v>905</v>
      </c>
      <c r="B841" s="2" t="s">
        <v>900</v>
      </c>
      <c r="C841" s="2" t="s">
        <v>23</v>
      </c>
      <c r="D841" s="3">
        <v>1704</v>
      </c>
      <c r="E841" s="4" t="s">
        <v>24</v>
      </c>
      <c r="F841" s="5">
        <v>15.13</v>
      </c>
      <c r="G841" s="4" t="s">
        <v>25</v>
      </c>
      <c r="H841" s="6">
        <f t="shared" si="13"/>
        <v>25781.52</v>
      </c>
    </row>
    <row r="842" spans="1:8" x14ac:dyDescent="0.2">
      <c r="A842" s="2" t="s">
        <v>906</v>
      </c>
      <c r="B842" s="2" t="s">
        <v>900</v>
      </c>
      <c r="C842" s="2" t="s">
        <v>19</v>
      </c>
      <c r="D842" s="3">
        <v>3910</v>
      </c>
      <c r="E842" s="4" t="s">
        <v>20</v>
      </c>
      <c r="F842" s="5">
        <v>1.1599999999999999</v>
      </c>
      <c r="G842" s="4" t="s">
        <v>21</v>
      </c>
      <c r="H842" s="6">
        <f t="shared" si="13"/>
        <v>4535.5999999999995</v>
      </c>
    </row>
    <row r="843" spans="1:8" x14ac:dyDescent="0.2">
      <c r="A843" s="2" t="s">
        <v>907</v>
      </c>
      <c r="B843" s="2" t="s">
        <v>900</v>
      </c>
      <c r="C843" s="2" t="s">
        <v>23</v>
      </c>
      <c r="D843" s="3">
        <v>2622</v>
      </c>
      <c r="E843" s="4" t="s">
        <v>24</v>
      </c>
      <c r="F843" s="5">
        <v>12.4</v>
      </c>
      <c r="G843" s="4" t="s">
        <v>25</v>
      </c>
      <c r="H843" s="6">
        <f t="shared" si="13"/>
        <v>32512.799999999999</v>
      </c>
    </row>
    <row r="844" spans="1:8" x14ac:dyDescent="0.2">
      <c r="A844" s="2" t="s">
        <v>908</v>
      </c>
      <c r="B844" s="2" t="s">
        <v>900</v>
      </c>
      <c r="C844" s="2" t="s">
        <v>37</v>
      </c>
      <c r="D844" s="3">
        <v>952</v>
      </c>
      <c r="E844" s="4" t="s">
        <v>38</v>
      </c>
      <c r="F844" s="5">
        <v>2.0699999999999998</v>
      </c>
      <c r="G844" s="4" t="s">
        <v>39</v>
      </c>
      <c r="H844" s="6">
        <f t="shared" si="13"/>
        <v>1970.6399999999999</v>
      </c>
    </row>
    <row r="845" spans="1:8" x14ac:dyDescent="0.2">
      <c r="A845" s="2" t="s">
        <v>909</v>
      </c>
      <c r="B845" s="2" t="s">
        <v>900</v>
      </c>
      <c r="C845" s="2" t="s">
        <v>57</v>
      </c>
      <c r="D845" s="3">
        <v>905</v>
      </c>
      <c r="E845" s="4" t="s">
        <v>20</v>
      </c>
      <c r="F845" s="5">
        <v>0.87</v>
      </c>
      <c r="G845" s="4" t="s">
        <v>21</v>
      </c>
      <c r="H845" s="6">
        <f t="shared" si="13"/>
        <v>787.35</v>
      </c>
    </row>
    <row r="846" spans="1:8" x14ac:dyDescent="0.2">
      <c r="A846" s="2" t="s">
        <v>910</v>
      </c>
      <c r="B846" s="2" t="s">
        <v>900</v>
      </c>
      <c r="C846" s="2" t="s">
        <v>118</v>
      </c>
      <c r="D846" s="3">
        <v>2008</v>
      </c>
      <c r="E846" s="4" t="s">
        <v>24</v>
      </c>
      <c r="F846" s="5">
        <v>0.76</v>
      </c>
      <c r="G846" s="4" t="s">
        <v>25</v>
      </c>
      <c r="H846" s="6">
        <f t="shared" si="13"/>
        <v>1526.08</v>
      </c>
    </row>
    <row r="847" spans="1:8" x14ac:dyDescent="0.2">
      <c r="A847" s="2" t="s">
        <v>911</v>
      </c>
      <c r="B847" s="2" t="s">
        <v>900</v>
      </c>
      <c r="C847" s="2" t="s">
        <v>29</v>
      </c>
      <c r="D847" s="3">
        <v>1321</v>
      </c>
      <c r="E847" s="4" t="s">
        <v>30</v>
      </c>
      <c r="F847" s="5">
        <v>1.4</v>
      </c>
      <c r="G847" s="4" t="s">
        <v>31</v>
      </c>
      <c r="H847" s="6">
        <f t="shared" si="13"/>
        <v>1849.3999999999999</v>
      </c>
    </row>
    <row r="848" spans="1:8" x14ac:dyDescent="0.2">
      <c r="A848" s="2" t="s">
        <v>912</v>
      </c>
      <c r="B848" s="2" t="s">
        <v>900</v>
      </c>
      <c r="C848" s="2" t="s">
        <v>52</v>
      </c>
      <c r="D848" s="3">
        <v>3795</v>
      </c>
      <c r="E848" s="4" t="s">
        <v>53</v>
      </c>
      <c r="F848" s="5">
        <v>10.16</v>
      </c>
      <c r="G848" s="4" t="s">
        <v>54</v>
      </c>
      <c r="H848" s="6">
        <f t="shared" si="13"/>
        <v>38557.199999999997</v>
      </c>
    </row>
    <row r="849" spans="1:8" x14ac:dyDescent="0.2">
      <c r="A849" s="2" t="s">
        <v>913</v>
      </c>
      <c r="B849" s="2" t="s">
        <v>900</v>
      </c>
      <c r="C849" s="2" t="s">
        <v>67</v>
      </c>
      <c r="D849" s="3">
        <v>1521</v>
      </c>
      <c r="E849" s="4" t="s">
        <v>24</v>
      </c>
      <c r="F849" s="5">
        <v>0.36</v>
      </c>
      <c r="G849" s="4" t="s">
        <v>25</v>
      </c>
      <c r="H849" s="6">
        <f t="shared" si="13"/>
        <v>547.55999999999995</v>
      </c>
    </row>
    <row r="850" spans="1:8" x14ac:dyDescent="0.2">
      <c r="A850" s="2" t="s">
        <v>914</v>
      </c>
      <c r="B850" s="2" t="s">
        <v>900</v>
      </c>
      <c r="C850" s="2" t="s">
        <v>52</v>
      </c>
      <c r="D850" s="3">
        <v>3250</v>
      </c>
      <c r="E850" s="4" t="s">
        <v>53</v>
      </c>
      <c r="F850" s="5">
        <v>9.15</v>
      </c>
      <c r="G850" s="4" t="s">
        <v>54</v>
      </c>
      <c r="H850" s="6">
        <f t="shared" si="13"/>
        <v>29737.5</v>
      </c>
    </row>
    <row r="851" spans="1:8" x14ac:dyDescent="0.2">
      <c r="A851" s="2" t="s">
        <v>915</v>
      </c>
      <c r="B851" s="2" t="s">
        <v>900</v>
      </c>
      <c r="C851" s="2" t="s">
        <v>147</v>
      </c>
      <c r="D851" s="3">
        <v>1626</v>
      </c>
      <c r="E851" s="4" t="s">
        <v>53</v>
      </c>
      <c r="F851" s="5">
        <v>11.6</v>
      </c>
      <c r="G851" s="4" t="s">
        <v>54</v>
      </c>
      <c r="H851" s="6">
        <f t="shared" si="13"/>
        <v>18861.599999999999</v>
      </c>
    </row>
    <row r="852" spans="1:8" x14ac:dyDescent="0.2">
      <c r="A852" s="2" t="s">
        <v>916</v>
      </c>
      <c r="B852" s="2" t="s">
        <v>900</v>
      </c>
      <c r="C852" s="2" t="s">
        <v>52</v>
      </c>
      <c r="D852" s="3">
        <v>3195</v>
      </c>
      <c r="E852" s="4" t="s">
        <v>53</v>
      </c>
      <c r="F852" s="5">
        <v>9.02</v>
      </c>
      <c r="G852" s="4" t="s">
        <v>54</v>
      </c>
      <c r="H852" s="6">
        <f t="shared" si="13"/>
        <v>28818.899999999998</v>
      </c>
    </row>
    <row r="853" spans="1:8" x14ac:dyDescent="0.2">
      <c r="A853" s="2" t="s">
        <v>917</v>
      </c>
      <c r="B853" s="2" t="s">
        <v>900</v>
      </c>
      <c r="C853" s="2" t="s">
        <v>44</v>
      </c>
      <c r="D853" s="3">
        <v>1695</v>
      </c>
      <c r="E853" s="4" t="s">
        <v>24</v>
      </c>
      <c r="F853" s="5">
        <v>1.0900000000000001</v>
      </c>
      <c r="G853" s="4" t="s">
        <v>25</v>
      </c>
      <c r="H853" s="6">
        <f t="shared" si="13"/>
        <v>1847.5500000000002</v>
      </c>
    </row>
    <row r="854" spans="1:8" x14ac:dyDescent="0.2">
      <c r="A854" s="2" t="s">
        <v>918</v>
      </c>
      <c r="B854" s="2" t="s">
        <v>900</v>
      </c>
      <c r="C854" s="2" t="s">
        <v>27</v>
      </c>
      <c r="D854" s="3">
        <v>4739</v>
      </c>
      <c r="E854" s="4" t="s">
        <v>20</v>
      </c>
      <c r="F854" s="5">
        <v>1.32</v>
      </c>
      <c r="G854" s="4" t="s">
        <v>21</v>
      </c>
      <c r="H854" s="6">
        <f t="shared" si="13"/>
        <v>6255.4800000000005</v>
      </c>
    </row>
    <row r="855" spans="1:8" x14ac:dyDescent="0.2">
      <c r="A855" s="2" t="s">
        <v>919</v>
      </c>
      <c r="B855" s="2" t="s">
        <v>900</v>
      </c>
      <c r="C855" s="2" t="s">
        <v>29</v>
      </c>
      <c r="D855" s="3">
        <v>1541</v>
      </c>
      <c r="E855" s="4" t="s">
        <v>30</v>
      </c>
      <c r="F855" s="5">
        <v>1.44</v>
      </c>
      <c r="G855" s="4" t="s">
        <v>31</v>
      </c>
      <c r="H855" s="6">
        <f t="shared" si="13"/>
        <v>2219.04</v>
      </c>
    </row>
    <row r="856" spans="1:8" x14ac:dyDescent="0.2">
      <c r="A856" s="2" t="s">
        <v>920</v>
      </c>
      <c r="B856" s="2" t="s">
        <v>900</v>
      </c>
      <c r="C856" s="2" t="s">
        <v>44</v>
      </c>
      <c r="D856" s="3">
        <v>3758</v>
      </c>
      <c r="E856" s="4" t="s">
        <v>24</v>
      </c>
      <c r="F856" s="5">
        <v>0.98</v>
      </c>
      <c r="G856" s="4" t="s">
        <v>25</v>
      </c>
      <c r="H856" s="6">
        <f t="shared" si="13"/>
        <v>3682.84</v>
      </c>
    </row>
    <row r="857" spans="1:8" x14ac:dyDescent="0.2">
      <c r="A857" s="2" t="s">
        <v>921</v>
      </c>
      <c r="B857" s="2" t="s">
        <v>900</v>
      </c>
      <c r="C857" s="2" t="s">
        <v>48</v>
      </c>
      <c r="D857" s="3">
        <v>4333</v>
      </c>
      <c r="E857" s="4" t="s">
        <v>24</v>
      </c>
      <c r="F857" s="5">
        <v>0.19</v>
      </c>
      <c r="G857" s="4" t="s">
        <v>25</v>
      </c>
      <c r="H857" s="6">
        <f t="shared" si="13"/>
        <v>823.27</v>
      </c>
    </row>
    <row r="858" spans="1:8" x14ac:dyDescent="0.2">
      <c r="A858" s="2" t="s">
        <v>922</v>
      </c>
      <c r="B858" s="2" t="s">
        <v>900</v>
      </c>
      <c r="C858" s="2" t="s">
        <v>57</v>
      </c>
      <c r="D858" s="3">
        <v>4900</v>
      </c>
      <c r="E858" s="4" t="s">
        <v>20</v>
      </c>
      <c r="F858" s="5">
        <v>0.76</v>
      </c>
      <c r="G858" s="4" t="s">
        <v>21</v>
      </c>
      <c r="H858" s="6">
        <f t="shared" si="13"/>
        <v>3724</v>
      </c>
    </row>
    <row r="859" spans="1:8" x14ac:dyDescent="0.2">
      <c r="A859" s="2" t="s">
        <v>923</v>
      </c>
      <c r="B859" s="2" t="s">
        <v>900</v>
      </c>
      <c r="C859" s="2" t="s">
        <v>67</v>
      </c>
      <c r="D859" s="3">
        <v>4818</v>
      </c>
      <c r="E859" s="4" t="s">
        <v>24</v>
      </c>
      <c r="F859" s="5">
        <v>0.33</v>
      </c>
      <c r="G859" s="4" t="s">
        <v>25</v>
      </c>
      <c r="H859" s="6">
        <f t="shared" si="13"/>
        <v>1589.94</v>
      </c>
    </row>
    <row r="860" spans="1:8" x14ac:dyDescent="0.2">
      <c r="A860" s="2" t="s">
        <v>924</v>
      </c>
      <c r="B860" s="2" t="s">
        <v>900</v>
      </c>
      <c r="C860" s="2" t="s">
        <v>19</v>
      </c>
      <c r="D860" s="3">
        <v>3760</v>
      </c>
      <c r="E860" s="4" t="s">
        <v>20</v>
      </c>
      <c r="F860" s="5">
        <v>1.47</v>
      </c>
      <c r="G860" s="4" t="s">
        <v>21</v>
      </c>
      <c r="H860" s="6">
        <f t="shared" si="13"/>
        <v>5527.2</v>
      </c>
    </row>
    <row r="861" spans="1:8" x14ac:dyDescent="0.2">
      <c r="A861" s="2" t="s">
        <v>925</v>
      </c>
      <c r="B861" s="2" t="s">
        <v>900</v>
      </c>
      <c r="C861" s="2" t="s">
        <v>71</v>
      </c>
      <c r="D861" s="3">
        <v>4844</v>
      </c>
      <c r="E861" s="4" t="s">
        <v>72</v>
      </c>
      <c r="F861" s="5">
        <v>2450.85</v>
      </c>
      <c r="G861" s="4" t="s">
        <v>73</v>
      </c>
      <c r="H861" s="6">
        <f t="shared" si="13"/>
        <v>11871917.4</v>
      </c>
    </row>
    <row r="862" spans="1:8" x14ac:dyDescent="0.2">
      <c r="A862" s="2" t="s">
        <v>926</v>
      </c>
      <c r="B862" s="2" t="s">
        <v>900</v>
      </c>
      <c r="C862" s="2" t="s">
        <v>89</v>
      </c>
      <c r="D862" s="3">
        <v>2575</v>
      </c>
      <c r="E862" s="4" t="s">
        <v>30</v>
      </c>
      <c r="F862" s="5">
        <v>1.94</v>
      </c>
      <c r="G862" s="4" t="s">
        <v>31</v>
      </c>
      <c r="H862" s="6">
        <f t="shared" si="13"/>
        <v>4995.5</v>
      </c>
    </row>
    <row r="863" spans="1:8" x14ac:dyDescent="0.2">
      <c r="A863" s="2" t="s">
        <v>927</v>
      </c>
      <c r="B863" s="2" t="s">
        <v>900</v>
      </c>
      <c r="C863" s="2" t="s">
        <v>71</v>
      </c>
      <c r="D863" s="3">
        <v>968</v>
      </c>
      <c r="E863" s="4" t="s">
        <v>72</v>
      </c>
      <c r="F863" s="5">
        <v>2509.83</v>
      </c>
      <c r="G863" s="4" t="s">
        <v>73</v>
      </c>
      <c r="H863" s="6">
        <f t="shared" si="13"/>
        <v>2429515.44</v>
      </c>
    </row>
    <row r="864" spans="1:8" x14ac:dyDescent="0.2">
      <c r="A864" s="2" t="s">
        <v>928</v>
      </c>
      <c r="B864" s="2" t="s">
        <v>900</v>
      </c>
      <c r="C864" s="2" t="s">
        <v>89</v>
      </c>
      <c r="D864" s="3">
        <v>4194</v>
      </c>
      <c r="E864" s="4" t="s">
        <v>30</v>
      </c>
      <c r="F864" s="5">
        <v>2.27</v>
      </c>
      <c r="G864" s="4" t="s">
        <v>31</v>
      </c>
      <c r="H864" s="6">
        <f t="shared" si="13"/>
        <v>9520.3799999999992</v>
      </c>
    </row>
    <row r="865" spans="1:8" x14ac:dyDescent="0.2">
      <c r="A865" s="2" t="s">
        <v>929</v>
      </c>
      <c r="B865" s="2" t="s">
        <v>900</v>
      </c>
      <c r="C865" s="2" t="s">
        <v>147</v>
      </c>
      <c r="D865" s="3">
        <v>1139</v>
      </c>
      <c r="E865" s="4" t="s">
        <v>53</v>
      </c>
      <c r="F865" s="5">
        <v>12.6</v>
      </c>
      <c r="G865" s="4" t="s">
        <v>54</v>
      </c>
      <c r="H865" s="6">
        <f t="shared" si="13"/>
        <v>14351.4</v>
      </c>
    </row>
    <row r="866" spans="1:8" x14ac:dyDescent="0.2">
      <c r="A866" s="2" t="s">
        <v>930</v>
      </c>
      <c r="B866" s="2" t="s">
        <v>900</v>
      </c>
      <c r="C866" s="2" t="s">
        <v>52</v>
      </c>
      <c r="D866" s="3">
        <v>1531</v>
      </c>
      <c r="E866" s="4" t="s">
        <v>53</v>
      </c>
      <c r="F866" s="5">
        <v>11.43</v>
      </c>
      <c r="G866" s="4" t="s">
        <v>54</v>
      </c>
      <c r="H866" s="6">
        <f t="shared" si="13"/>
        <v>17499.329999999998</v>
      </c>
    </row>
    <row r="867" spans="1:8" x14ac:dyDescent="0.2">
      <c r="A867" s="2" t="s">
        <v>931</v>
      </c>
      <c r="B867" s="2" t="s">
        <v>900</v>
      </c>
      <c r="C867" s="2" t="s">
        <v>29</v>
      </c>
      <c r="D867" s="3">
        <v>1429</v>
      </c>
      <c r="E867" s="4" t="s">
        <v>30</v>
      </c>
      <c r="F867" s="5">
        <v>1.67</v>
      </c>
      <c r="G867" s="4" t="s">
        <v>31</v>
      </c>
      <c r="H867" s="6">
        <f t="shared" si="13"/>
        <v>2386.4299999999998</v>
      </c>
    </row>
    <row r="868" spans="1:8" x14ac:dyDescent="0.2">
      <c r="A868" s="2" t="s">
        <v>932</v>
      </c>
      <c r="B868" s="2" t="s">
        <v>900</v>
      </c>
      <c r="C868" s="2" t="s">
        <v>48</v>
      </c>
      <c r="D868" s="3">
        <v>2376</v>
      </c>
      <c r="E868" s="4" t="s">
        <v>24</v>
      </c>
      <c r="F868" s="5">
        <v>7.0000000000000007E-2</v>
      </c>
      <c r="G868" s="4" t="s">
        <v>25</v>
      </c>
      <c r="H868" s="6">
        <f t="shared" si="13"/>
        <v>166.32000000000002</v>
      </c>
    </row>
    <row r="869" spans="1:8" x14ac:dyDescent="0.2">
      <c r="A869" s="2" t="s">
        <v>933</v>
      </c>
      <c r="B869" s="2" t="s">
        <v>900</v>
      </c>
      <c r="C869" s="2" t="s">
        <v>57</v>
      </c>
      <c r="D869" s="3">
        <v>3704</v>
      </c>
      <c r="E869" s="4" t="s">
        <v>20</v>
      </c>
      <c r="F869" s="5">
        <v>0.85</v>
      </c>
      <c r="G869" s="4" t="s">
        <v>21</v>
      </c>
      <c r="H869" s="6">
        <f t="shared" si="13"/>
        <v>3148.4</v>
      </c>
    </row>
    <row r="870" spans="1:8" x14ac:dyDescent="0.2">
      <c r="A870" s="2" t="s">
        <v>934</v>
      </c>
      <c r="B870" s="2" t="s">
        <v>900</v>
      </c>
      <c r="C870" s="2" t="s">
        <v>19</v>
      </c>
      <c r="D870" s="3">
        <v>88</v>
      </c>
      <c r="E870" s="4" t="s">
        <v>20</v>
      </c>
      <c r="F870" s="5">
        <v>1.39</v>
      </c>
      <c r="G870" s="4" t="s">
        <v>21</v>
      </c>
      <c r="H870" s="6">
        <f t="shared" si="13"/>
        <v>122.32</v>
      </c>
    </row>
    <row r="871" spans="1:8" x14ac:dyDescent="0.2">
      <c r="A871" s="2" t="s">
        <v>935</v>
      </c>
      <c r="B871" s="2" t="s">
        <v>900</v>
      </c>
      <c r="C871" s="2" t="s">
        <v>44</v>
      </c>
      <c r="D871" s="3">
        <v>3155</v>
      </c>
      <c r="E871" s="4" t="s">
        <v>24</v>
      </c>
      <c r="F871" s="5">
        <v>1.57</v>
      </c>
      <c r="G871" s="4" t="s">
        <v>25</v>
      </c>
      <c r="H871" s="6">
        <f t="shared" si="13"/>
        <v>4953.3500000000004</v>
      </c>
    </row>
    <row r="872" spans="1:8" x14ac:dyDescent="0.2">
      <c r="A872" s="2" t="s">
        <v>936</v>
      </c>
      <c r="B872" s="2" t="s">
        <v>900</v>
      </c>
      <c r="C872" s="2" t="s">
        <v>78</v>
      </c>
      <c r="D872" s="3">
        <v>4064</v>
      </c>
      <c r="E872" s="4" t="s">
        <v>38</v>
      </c>
      <c r="F872" s="5">
        <v>2.2000000000000002</v>
      </c>
      <c r="G872" s="4" t="s">
        <v>39</v>
      </c>
      <c r="H872" s="6">
        <f t="shared" si="13"/>
        <v>8940.8000000000011</v>
      </c>
    </row>
    <row r="873" spans="1:8" x14ac:dyDescent="0.2">
      <c r="A873" s="2" t="s">
        <v>937</v>
      </c>
      <c r="B873" s="2" t="s">
        <v>900</v>
      </c>
      <c r="C873" s="2" t="s">
        <v>48</v>
      </c>
      <c r="D873" s="3">
        <v>3414</v>
      </c>
      <c r="E873" s="4" t="s">
        <v>24</v>
      </c>
      <c r="F873" s="5">
        <v>0.16</v>
      </c>
      <c r="G873" s="4" t="s">
        <v>25</v>
      </c>
      <c r="H873" s="6">
        <f t="shared" si="13"/>
        <v>546.24</v>
      </c>
    </row>
    <row r="874" spans="1:8" x14ac:dyDescent="0.2">
      <c r="A874" s="2" t="s">
        <v>938</v>
      </c>
      <c r="B874" s="2" t="s">
        <v>900</v>
      </c>
      <c r="C874" s="2" t="s">
        <v>23</v>
      </c>
      <c r="D874" s="3">
        <v>4013</v>
      </c>
      <c r="E874" s="4" t="s">
        <v>24</v>
      </c>
      <c r="F874" s="5">
        <v>13</v>
      </c>
      <c r="G874" s="4" t="s">
        <v>25</v>
      </c>
      <c r="H874" s="6">
        <f t="shared" si="13"/>
        <v>52169</v>
      </c>
    </row>
    <row r="875" spans="1:8" x14ac:dyDescent="0.2">
      <c r="A875" s="2" t="s">
        <v>939</v>
      </c>
      <c r="B875" s="2" t="s">
        <v>900</v>
      </c>
      <c r="C875" s="2" t="s">
        <v>46</v>
      </c>
      <c r="D875" s="3">
        <v>262</v>
      </c>
      <c r="E875" s="4" t="s">
        <v>20</v>
      </c>
      <c r="F875" s="5">
        <v>3.59</v>
      </c>
      <c r="G875" s="4" t="s">
        <v>21</v>
      </c>
      <c r="H875" s="6">
        <f t="shared" si="13"/>
        <v>940.57999999999993</v>
      </c>
    </row>
    <row r="876" spans="1:8" x14ac:dyDescent="0.2">
      <c r="A876" s="2" t="s">
        <v>940</v>
      </c>
      <c r="B876" s="2" t="s">
        <v>900</v>
      </c>
      <c r="C876" s="2" t="s">
        <v>42</v>
      </c>
      <c r="D876" s="3">
        <v>2402</v>
      </c>
      <c r="E876" s="4" t="s">
        <v>24</v>
      </c>
      <c r="F876" s="5">
        <v>3.6</v>
      </c>
      <c r="G876" s="4" t="s">
        <v>25</v>
      </c>
      <c r="H876" s="6">
        <f t="shared" si="13"/>
        <v>8647.2000000000007</v>
      </c>
    </row>
    <row r="877" spans="1:8" x14ac:dyDescent="0.2">
      <c r="A877" s="2" t="s">
        <v>941</v>
      </c>
      <c r="B877" s="2" t="s">
        <v>900</v>
      </c>
      <c r="C877" s="2" t="s">
        <v>42</v>
      </c>
      <c r="D877" s="3">
        <v>4414</v>
      </c>
      <c r="E877" s="4" t="s">
        <v>24</v>
      </c>
      <c r="F877" s="5">
        <v>4.37</v>
      </c>
      <c r="G877" s="4" t="s">
        <v>25</v>
      </c>
      <c r="H877" s="6">
        <f t="shared" si="13"/>
        <v>19289.18</v>
      </c>
    </row>
    <row r="878" spans="1:8" x14ac:dyDescent="0.2">
      <c r="A878" s="2" t="s">
        <v>942</v>
      </c>
      <c r="B878" s="2" t="s">
        <v>900</v>
      </c>
      <c r="C878" s="2" t="s">
        <v>23</v>
      </c>
      <c r="D878" s="3">
        <v>4643</v>
      </c>
      <c r="E878" s="4" t="s">
        <v>24</v>
      </c>
      <c r="F878" s="5">
        <v>16.46</v>
      </c>
      <c r="G878" s="4" t="s">
        <v>25</v>
      </c>
      <c r="H878" s="6">
        <f t="shared" si="13"/>
        <v>76423.78</v>
      </c>
    </row>
    <row r="879" spans="1:8" x14ac:dyDescent="0.2">
      <c r="A879" s="2" t="s">
        <v>943</v>
      </c>
      <c r="B879" s="2" t="s">
        <v>900</v>
      </c>
      <c r="C879" s="2" t="s">
        <v>48</v>
      </c>
      <c r="D879" s="3">
        <v>4513</v>
      </c>
      <c r="E879" s="4" t="s">
        <v>24</v>
      </c>
      <c r="F879" s="5">
        <v>0.13</v>
      </c>
      <c r="G879" s="4" t="s">
        <v>25</v>
      </c>
      <c r="H879" s="6">
        <f t="shared" si="13"/>
        <v>586.69000000000005</v>
      </c>
    </row>
    <row r="880" spans="1:8" x14ac:dyDescent="0.2">
      <c r="A880" s="2" t="s">
        <v>944</v>
      </c>
      <c r="B880" s="2" t="s">
        <v>900</v>
      </c>
      <c r="C880" s="2" t="s">
        <v>46</v>
      </c>
      <c r="D880" s="3">
        <v>945</v>
      </c>
      <c r="E880" s="4" t="s">
        <v>20</v>
      </c>
      <c r="F880" s="5">
        <v>2.54</v>
      </c>
      <c r="G880" s="4" t="s">
        <v>21</v>
      </c>
      <c r="H880" s="6">
        <f t="shared" si="13"/>
        <v>2400.3000000000002</v>
      </c>
    </row>
    <row r="881" spans="1:8" x14ac:dyDescent="0.2">
      <c r="A881" s="2" t="s">
        <v>945</v>
      </c>
      <c r="B881" s="2" t="s">
        <v>900</v>
      </c>
      <c r="C881" s="2" t="s">
        <v>29</v>
      </c>
      <c r="D881" s="3">
        <v>3015</v>
      </c>
      <c r="E881" s="4" t="s">
        <v>30</v>
      </c>
      <c r="F881" s="5">
        <v>1.65</v>
      </c>
      <c r="G881" s="4" t="s">
        <v>31</v>
      </c>
      <c r="H881" s="6">
        <f t="shared" si="13"/>
        <v>4974.75</v>
      </c>
    </row>
    <row r="882" spans="1:8" x14ac:dyDescent="0.2">
      <c r="A882" s="2" t="s">
        <v>946</v>
      </c>
      <c r="B882" s="2" t="s">
        <v>900</v>
      </c>
      <c r="C882" s="2" t="s">
        <v>37</v>
      </c>
      <c r="D882" s="3">
        <v>3625</v>
      </c>
      <c r="E882" s="4" t="s">
        <v>38</v>
      </c>
      <c r="F882" s="5">
        <v>3.64</v>
      </c>
      <c r="G882" s="4" t="s">
        <v>39</v>
      </c>
      <c r="H882" s="6">
        <f t="shared" si="13"/>
        <v>13195</v>
      </c>
    </row>
    <row r="883" spans="1:8" x14ac:dyDescent="0.2">
      <c r="A883" s="2" t="s">
        <v>947</v>
      </c>
      <c r="B883" s="2" t="s">
        <v>900</v>
      </c>
      <c r="C883" s="2" t="s">
        <v>52</v>
      </c>
      <c r="D883" s="3">
        <v>848</v>
      </c>
      <c r="E883" s="4" t="s">
        <v>53</v>
      </c>
      <c r="F883" s="5">
        <v>12.68</v>
      </c>
      <c r="G883" s="4" t="s">
        <v>54</v>
      </c>
      <c r="H883" s="6">
        <f t="shared" si="13"/>
        <v>10752.64</v>
      </c>
    </row>
    <row r="884" spans="1:8" x14ac:dyDescent="0.2">
      <c r="A884" s="2" t="s">
        <v>948</v>
      </c>
      <c r="B884" s="2" t="s">
        <v>900</v>
      </c>
      <c r="C884" s="2" t="s">
        <v>42</v>
      </c>
      <c r="D884" s="3">
        <v>2448</v>
      </c>
      <c r="E884" s="4" t="s">
        <v>24</v>
      </c>
      <c r="F884" s="5">
        <v>6.12</v>
      </c>
      <c r="G884" s="4" t="s">
        <v>25</v>
      </c>
      <c r="H884" s="6">
        <f t="shared" si="13"/>
        <v>14981.76</v>
      </c>
    </row>
    <row r="885" spans="1:8" x14ac:dyDescent="0.2">
      <c r="A885" s="2" t="s">
        <v>949</v>
      </c>
      <c r="B885" s="2" t="s">
        <v>900</v>
      </c>
      <c r="C885" s="2" t="s">
        <v>37</v>
      </c>
      <c r="D885" s="3">
        <v>3694</v>
      </c>
      <c r="E885" s="4" t="s">
        <v>38</v>
      </c>
      <c r="F885" s="5">
        <v>2.79</v>
      </c>
      <c r="G885" s="4" t="s">
        <v>39</v>
      </c>
      <c r="H885" s="6">
        <f t="shared" si="13"/>
        <v>10306.26</v>
      </c>
    </row>
    <row r="886" spans="1:8" x14ac:dyDescent="0.2">
      <c r="A886" s="2" t="s">
        <v>950</v>
      </c>
      <c r="B886" s="2" t="s">
        <v>900</v>
      </c>
      <c r="C886" s="2" t="s">
        <v>27</v>
      </c>
      <c r="D886" s="3">
        <v>3606</v>
      </c>
      <c r="E886" s="4" t="s">
        <v>20</v>
      </c>
      <c r="F886" s="5">
        <v>2.2400000000000002</v>
      </c>
      <c r="G886" s="4" t="s">
        <v>21</v>
      </c>
      <c r="H886" s="6">
        <f t="shared" si="13"/>
        <v>8077.4400000000005</v>
      </c>
    </row>
    <row r="887" spans="1:8" x14ac:dyDescent="0.2">
      <c r="A887" s="2" t="s">
        <v>951</v>
      </c>
      <c r="B887" s="2" t="s">
        <v>900</v>
      </c>
      <c r="C887" s="2" t="s">
        <v>50</v>
      </c>
      <c r="D887" s="3">
        <v>1951</v>
      </c>
      <c r="E887" s="4" t="s">
        <v>20</v>
      </c>
      <c r="F887" s="5">
        <v>0.83</v>
      </c>
      <c r="G887" s="4" t="s">
        <v>21</v>
      </c>
      <c r="H887" s="6">
        <f t="shared" si="13"/>
        <v>1619.33</v>
      </c>
    </row>
    <row r="888" spans="1:8" x14ac:dyDescent="0.2">
      <c r="A888" s="2" t="s">
        <v>952</v>
      </c>
      <c r="B888" s="2" t="s">
        <v>900</v>
      </c>
      <c r="C888" s="2" t="s">
        <v>46</v>
      </c>
      <c r="D888" s="3">
        <v>2882</v>
      </c>
      <c r="E888" s="4" t="s">
        <v>20</v>
      </c>
      <c r="F888" s="5">
        <v>3.72</v>
      </c>
      <c r="G888" s="4" t="s">
        <v>21</v>
      </c>
      <c r="H888" s="6">
        <f t="shared" si="13"/>
        <v>10721.04</v>
      </c>
    </row>
    <row r="889" spans="1:8" x14ac:dyDescent="0.2">
      <c r="A889" s="2" t="s">
        <v>953</v>
      </c>
      <c r="B889" s="2" t="s">
        <v>900</v>
      </c>
      <c r="C889" s="2" t="s">
        <v>147</v>
      </c>
      <c r="D889" s="3">
        <v>3517</v>
      </c>
      <c r="E889" s="4" t="s">
        <v>53</v>
      </c>
      <c r="F889" s="5">
        <v>9.33</v>
      </c>
      <c r="G889" s="4" t="s">
        <v>54</v>
      </c>
      <c r="H889" s="6">
        <f t="shared" si="13"/>
        <v>32813.61</v>
      </c>
    </row>
    <row r="890" spans="1:8" x14ac:dyDescent="0.2">
      <c r="A890" s="2" t="s">
        <v>954</v>
      </c>
      <c r="B890" s="2" t="s">
        <v>900</v>
      </c>
      <c r="C890" s="2" t="s">
        <v>89</v>
      </c>
      <c r="D890" s="3">
        <v>1702</v>
      </c>
      <c r="E890" s="4" t="s">
        <v>30</v>
      </c>
      <c r="F890" s="5">
        <v>2.78</v>
      </c>
      <c r="G890" s="4" t="s">
        <v>31</v>
      </c>
      <c r="H890" s="6">
        <f t="shared" si="13"/>
        <v>4731.5599999999995</v>
      </c>
    </row>
    <row r="891" spans="1:8" x14ac:dyDescent="0.2">
      <c r="A891" s="2" t="s">
        <v>955</v>
      </c>
      <c r="B891" s="2" t="s">
        <v>900</v>
      </c>
      <c r="C891" s="2" t="s">
        <v>37</v>
      </c>
      <c r="D891" s="3">
        <v>4680</v>
      </c>
      <c r="E891" s="4" t="s">
        <v>38</v>
      </c>
      <c r="F891" s="5">
        <v>3.05</v>
      </c>
      <c r="G891" s="4" t="s">
        <v>39</v>
      </c>
      <c r="H891" s="6">
        <f t="shared" si="13"/>
        <v>14274</v>
      </c>
    </row>
    <row r="892" spans="1:8" x14ac:dyDescent="0.2">
      <c r="A892" s="2" t="s">
        <v>956</v>
      </c>
      <c r="B892" s="2" t="s">
        <v>900</v>
      </c>
      <c r="C892" s="2" t="s">
        <v>86</v>
      </c>
      <c r="D892" s="3">
        <v>4899</v>
      </c>
      <c r="E892" s="4" t="s">
        <v>72</v>
      </c>
      <c r="F892" s="5">
        <v>8554.2800000000007</v>
      </c>
      <c r="G892" s="4" t="s">
        <v>73</v>
      </c>
      <c r="H892" s="6">
        <f t="shared" si="13"/>
        <v>41907417.720000006</v>
      </c>
    </row>
    <row r="893" spans="1:8" x14ac:dyDescent="0.2">
      <c r="A893" s="2" t="s">
        <v>957</v>
      </c>
      <c r="B893" s="2" t="s">
        <v>900</v>
      </c>
      <c r="C893" s="2" t="s">
        <v>57</v>
      </c>
      <c r="D893" s="3">
        <v>2407</v>
      </c>
      <c r="E893" s="4" t="s">
        <v>20</v>
      </c>
      <c r="F893" s="5">
        <v>0.72</v>
      </c>
      <c r="G893" s="4" t="s">
        <v>21</v>
      </c>
      <c r="H893" s="6">
        <f t="shared" si="13"/>
        <v>1733.04</v>
      </c>
    </row>
    <row r="894" spans="1:8" x14ac:dyDescent="0.2">
      <c r="A894" s="2" t="s">
        <v>958</v>
      </c>
      <c r="B894" s="2" t="s">
        <v>900</v>
      </c>
      <c r="C894" s="2" t="s">
        <v>86</v>
      </c>
      <c r="D894" s="3">
        <v>4224</v>
      </c>
      <c r="E894" s="4" t="s">
        <v>72</v>
      </c>
      <c r="F894" s="5">
        <v>9179.68</v>
      </c>
      <c r="G894" s="4" t="s">
        <v>73</v>
      </c>
      <c r="H894" s="6">
        <f t="shared" si="13"/>
        <v>38774968.32</v>
      </c>
    </row>
    <row r="895" spans="1:8" x14ac:dyDescent="0.2">
      <c r="A895" s="2" t="s">
        <v>959</v>
      </c>
      <c r="B895" s="2" t="s">
        <v>900</v>
      </c>
      <c r="C895" s="2" t="s">
        <v>50</v>
      </c>
      <c r="D895" s="3">
        <v>1120</v>
      </c>
      <c r="E895" s="4" t="s">
        <v>20</v>
      </c>
      <c r="F895" s="5">
        <v>1.28</v>
      </c>
      <c r="G895" s="4" t="s">
        <v>21</v>
      </c>
      <c r="H895" s="6">
        <f t="shared" si="13"/>
        <v>1433.6000000000001</v>
      </c>
    </row>
    <row r="896" spans="1:8" x14ac:dyDescent="0.2">
      <c r="A896" s="2" t="s">
        <v>960</v>
      </c>
      <c r="B896" s="2" t="s">
        <v>900</v>
      </c>
      <c r="C896" s="2" t="s">
        <v>52</v>
      </c>
      <c r="D896" s="3">
        <v>495</v>
      </c>
      <c r="E896" s="4" t="s">
        <v>53</v>
      </c>
      <c r="F896" s="5">
        <v>13.96</v>
      </c>
      <c r="G896" s="4" t="s">
        <v>54</v>
      </c>
      <c r="H896" s="6">
        <f t="shared" si="13"/>
        <v>6910.2000000000007</v>
      </c>
    </row>
    <row r="897" spans="1:8" x14ac:dyDescent="0.2">
      <c r="A897" s="2" t="s">
        <v>961</v>
      </c>
      <c r="B897" s="2" t="s">
        <v>900</v>
      </c>
      <c r="C897" s="2" t="s">
        <v>89</v>
      </c>
      <c r="D897" s="3">
        <v>1097</v>
      </c>
      <c r="E897" s="4" t="s">
        <v>30</v>
      </c>
      <c r="F897" s="5">
        <v>2.1</v>
      </c>
      <c r="G897" s="4" t="s">
        <v>31</v>
      </c>
      <c r="H897" s="6">
        <f t="shared" si="13"/>
        <v>2303.7000000000003</v>
      </c>
    </row>
    <row r="898" spans="1:8" x14ac:dyDescent="0.2">
      <c r="A898" s="2" t="s">
        <v>962</v>
      </c>
      <c r="B898" s="2" t="s">
        <v>900</v>
      </c>
      <c r="C898" s="2" t="s">
        <v>57</v>
      </c>
      <c r="D898" s="3">
        <v>2037</v>
      </c>
      <c r="E898" s="4" t="s">
        <v>20</v>
      </c>
      <c r="F898" s="5">
        <v>0.9</v>
      </c>
      <c r="G898" s="4" t="s">
        <v>21</v>
      </c>
      <c r="H898" s="6">
        <f t="shared" ref="H898:H961" si="14">D898*F898</f>
        <v>1833.3</v>
      </c>
    </row>
    <row r="899" spans="1:8" x14ac:dyDescent="0.2">
      <c r="A899" s="2" t="s">
        <v>963</v>
      </c>
      <c r="B899" s="2" t="s">
        <v>900</v>
      </c>
      <c r="C899" s="2" t="s">
        <v>67</v>
      </c>
      <c r="D899" s="3">
        <v>4019</v>
      </c>
      <c r="E899" s="4" t="s">
        <v>24</v>
      </c>
      <c r="F899" s="5">
        <v>0.34</v>
      </c>
      <c r="G899" s="4" t="s">
        <v>25</v>
      </c>
      <c r="H899" s="6">
        <f t="shared" si="14"/>
        <v>1366.46</v>
      </c>
    </row>
    <row r="900" spans="1:8" x14ac:dyDescent="0.2">
      <c r="A900" s="2" t="s">
        <v>964</v>
      </c>
      <c r="B900" s="2" t="s">
        <v>900</v>
      </c>
      <c r="C900" s="2" t="s">
        <v>86</v>
      </c>
      <c r="D900" s="3">
        <v>3403</v>
      </c>
      <c r="E900" s="4" t="s">
        <v>72</v>
      </c>
      <c r="F900" s="5">
        <v>8325.24</v>
      </c>
      <c r="G900" s="4" t="s">
        <v>73</v>
      </c>
      <c r="H900" s="6">
        <f t="shared" si="14"/>
        <v>28330791.719999999</v>
      </c>
    </row>
    <row r="901" spans="1:8" x14ac:dyDescent="0.2">
      <c r="A901" s="2" t="s">
        <v>965</v>
      </c>
      <c r="B901" s="2" t="s">
        <v>900</v>
      </c>
      <c r="C901" s="2" t="s">
        <v>27</v>
      </c>
      <c r="D901" s="3">
        <v>772</v>
      </c>
      <c r="E901" s="4" t="s">
        <v>20</v>
      </c>
      <c r="F901" s="5">
        <v>1.68</v>
      </c>
      <c r="G901" s="4" t="s">
        <v>21</v>
      </c>
      <c r="H901" s="6">
        <f t="shared" si="14"/>
        <v>1296.96</v>
      </c>
    </row>
    <row r="902" spans="1:8" x14ac:dyDescent="0.2">
      <c r="A902" s="2" t="s">
        <v>966</v>
      </c>
      <c r="B902" s="2" t="s">
        <v>900</v>
      </c>
      <c r="C902" s="2" t="s">
        <v>86</v>
      </c>
      <c r="D902" s="3">
        <v>3033</v>
      </c>
      <c r="E902" s="4" t="s">
        <v>72</v>
      </c>
      <c r="F902" s="5">
        <v>8436.57</v>
      </c>
      <c r="G902" s="4" t="s">
        <v>73</v>
      </c>
      <c r="H902" s="6">
        <f t="shared" si="14"/>
        <v>25588116.809999999</v>
      </c>
    </row>
    <row r="903" spans="1:8" x14ac:dyDescent="0.2">
      <c r="A903" s="2" t="s">
        <v>967</v>
      </c>
      <c r="B903" s="2" t="s">
        <v>968</v>
      </c>
      <c r="C903" s="2" t="s">
        <v>48</v>
      </c>
      <c r="D903" s="3">
        <v>2691</v>
      </c>
      <c r="E903" s="4" t="s">
        <v>24</v>
      </c>
      <c r="F903" s="5">
        <v>0.14000000000000001</v>
      </c>
      <c r="G903" s="4" t="s">
        <v>25</v>
      </c>
      <c r="H903" s="6">
        <f t="shared" si="14"/>
        <v>376.74</v>
      </c>
    </row>
    <row r="904" spans="1:8" x14ac:dyDescent="0.2">
      <c r="A904" s="2" t="s">
        <v>969</v>
      </c>
      <c r="B904" s="2" t="s">
        <v>968</v>
      </c>
      <c r="C904" s="2" t="s">
        <v>27</v>
      </c>
      <c r="D904" s="3">
        <v>3765</v>
      </c>
      <c r="E904" s="4" t="s">
        <v>20</v>
      </c>
      <c r="F904" s="5">
        <v>1.96</v>
      </c>
      <c r="G904" s="4" t="s">
        <v>21</v>
      </c>
      <c r="H904" s="6">
        <f t="shared" si="14"/>
        <v>7379.4</v>
      </c>
    </row>
    <row r="905" spans="1:8" x14ac:dyDescent="0.2">
      <c r="A905" s="2" t="s">
        <v>970</v>
      </c>
      <c r="B905" s="2" t="s">
        <v>968</v>
      </c>
      <c r="C905" s="2" t="s">
        <v>19</v>
      </c>
      <c r="D905" s="3">
        <v>528</v>
      </c>
      <c r="E905" s="4" t="s">
        <v>20</v>
      </c>
      <c r="F905" s="5">
        <v>1.58</v>
      </c>
      <c r="G905" s="4" t="s">
        <v>21</v>
      </c>
      <c r="H905" s="6">
        <f t="shared" si="14"/>
        <v>834.24</v>
      </c>
    </row>
    <row r="906" spans="1:8" x14ac:dyDescent="0.2">
      <c r="A906" s="2" t="s">
        <v>971</v>
      </c>
      <c r="B906" s="2" t="s">
        <v>968</v>
      </c>
      <c r="C906" s="2" t="s">
        <v>67</v>
      </c>
      <c r="D906" s="3">
        <v>1794</v>
      </c>
      <c r="E906" s="4" t="s">
        <v>24</v>
      </c>
      <c r="F906" s="5">
        <v>0.59</v>
      </c>
      <c r="G906" s="4" t="s">
        <v>25</v>
      </c>
      <c r="H906" s="6">
        <f t="shared" si="14"/>
        <v>1058.46</v>
      </c>
    </row>
    <row r="907" spans="1:8" x14ac:dyDescent="0.2">
      <c r="A907" s="2" t="s">
        <v>972</v>
      </c>
      <c r="B907" s="2" t="s">
        <v>968</v>
      </c>
      <c r="C907" s="2" t="s">
        <v>44</v>
      </c>
      <c r="D907" s="3">
        <v>4062</v>
      </c>
      <c r="E907" s="4" t="s">
        <v>24</v>
      </c>
      <c r="F907" s="5">
        <v>1.0900000000000001</v>
      </c>
      <c r="G907" s="4" t="s">
        <v>25</v>
      </c>
      <c r="H907" s="6">
        <f t="shared" si="14"/>
        <v>4427.58</v>
      </c>
    </row>
    <row r="908" spans="1:8" x14ac:dyDescent="0.2">
      <c r="A908" s="2" t="s">
        <v>973</v>
      </c>
      <c r="B908" s="2" t="s">
        <v>968</v>
      </c>
      <c r="C908" s="2" t="s">
        <v>71</v>
      </c>
      <c r="D908" s="3">
        <v>2776</v>
      </c>
      <c r="E908" s="4" t="s">
        <v>72</v>
      </c>
      <c r="F908" s="5">
        <v>2728.39</v>
      </c>
      <c r="G908" s="4" t="s">
        <v>73</v>
      </c>
      <c r="H908" s="6">
        <f t="shared" si="14"/>
        <v>7574010.6399999997</v>
      </c>
    </row>
    <row r="909" spans="1:8" x14ac:dyDescent="0.2">
      <c r="A909" s="2" t="s">
        <v>974</v>
      </c>
      <c r="B909" s="2" t="s">
        <v>968</v>
      </c>
      <c r="C909" s="2" t="s">
        <v>89</v>
      </c>
      <c r="D909" s="3">
        <v>4647</v>
      </c>
      <c r="E909" s="4" t="s">
        <v>30</v>
      </c>
      <c r="F909" s="5">
        <v>2.82</v>
      </c>
      <c r="G909" s="4" t="s">
        <v>31</v>
      </c>
      <c r="H909" s="6">
        <f t="shared" si="14"/>
        <v>13104.539999999999</v>
      </c>
    </row>
    <row r="910" spans="1:8" x14ac:dyDescent="0.2">
      <c r="A910" s="2" t="s">
        <v>975</v>
      </c>
      <c r="B910" s="2" t="s">
        <v>968</v>
      </c>
      <c r="C910" s="2" t="s">
        <v>57</v>
      </c>
      <c r="D910" s="3">
        <v>406</v>
      </c>
      <c r="E910" s="4" t="s">
        <v>20</v>
      </c>
      <c r="F910" s="5">
        <v>0.62</v>
      </c>
      <c r="G910" s="4" t="s">
        <v>21</v>
      </c>
      <c r="H910" s="6">
        <f t="shared" si="14"/>
        <v>251.72</v>
      </c>
    </row>
    <row r="911" spans="1:8" x14ac:dyDescent="0.2">
      <c r="A911" s="2" t="s">
        <v>976</v>
      </c>
      <c r="B911" s="2" t="s">
        <v>968</v>
      </c>
      <c r="C911" s="2" t="s">
        <v>23</v>
      </c>
      <c r="D911" s="3">
        <v>143</v>
      </c>
      <c r="E911" s="4" t="s">
        <v>24</v>
      </c>
      <c r="F911" s="5">
        <v>12.75</v>
      </c>
      <c r="G911" s="4" t="s">
        <v>25</v>
      </c>
      <c r="H911" s="6">
        <f t="shared" si="14"/>
        <v>1823.25</v>
      </c>
    </row>
    <row r="912" spans="1:8" x14ac:dyDescent="0.2">
      <c r="A912" s="2" t="s">
        <v>977</v>
      </c>
      <c r="B912" s="2" t="s">
        <v>968</v>
      </c>
      <c r="C912" s="2" t="s">
        <v>118</v>
      </c>
      <c r="D912" s="3">
        <v>3625</v>
      </c>
      <c r="E912" s="4" t="s">
        <v>24</v>
      </c>
      <c r="F912" s="5">
        <v>0.72</v>
      </c>
      <c r="G912" s="4" t="s">
        <v>25</v>
      </c>
      <c r="H912" s="6">
        <f t="shared" si="14"/>
        <v>2610</v>
      </c>
    </row>
    <row r="913" spans="1:8" x14ac:dyDescent="0.2">
      <c r="A913" s="2" t="s">
        <v>978</v>
      </c>
      <c r="B913" s="2" t="s">
        <v>968</v>
      </c>
      <c r="C913" s="2" t="s">
        <v>52</v>
      </c>
      <c r="D913" s="3">
        <v>1667</v>
      </c>
      <c r="E913" s="4" t="s">
        <v>53</v>
      </c>
      <c r="F913" s="5">
        <v>13.98</v>
      </c>
      <c r="G913" s="4" t="s">
        <v>54</v>
      </c>
      <c r="H913" s="6">
        <f t="shared" si="14"/>
        <v>23304.66</v>
      </c>
    </row>
    <row r="914" spans="1:8" x14ac:dyDescent="0.2">
      <c r="A914" s="2" t="s">
        <v>979</v>
      </c>
      <c r="B914" s="2" t="s">
        <v>968</v>
      </c>
      <c r="C914" s="2" t="s">
        <v>89</v>
      </c>
      <c r="D914" s="3">
        <v>2482</v>
      </c>
      <c r="E914" s="4" t="s">
        <v>30</v>
      </c>
      <c r="F914" s="5">
        <v>1.99</v>
      </c>
      <c r="G914" s="4" t="s">
        <v>31</v>
      </c>
      <c r="H914" s="6">
        <f t="shared" si="14"/>
        <v>4939.18</v>
      </c>
    </row>
    <row r="915" spans="1:8" x14ac:dyDescent="0.2">
      <c r="A915" s="2" t="s">
        <v>980</v>
      </c>
      <c r="B915" s="2" t="s">
        <v>968</v>
      </c>
      <c r="C915" s="2" t="s">
        <v>86</v>
      </c>
      <c r="D915" s="3">
        <v>774</v>
      </c>
      <c r="E915" s="4" t="s">
        <v>72</v>
      </c>
      <c r="F915" s="5">
        <v>8716.42</v>
      </c>
      <c r="G915" s="4" t="s">
        <v>73</v>
      </c>
      <c r="H915" s="6">
        <f t="shared" si="14"/>
        <v>6746509.0800000001</v>
      </c>
    </row>
    <row r="916" spans="1:8" x14ac:dyDescent="0.2">
      <c r="A916" s="2" t="s">
        <v>981</v>
      </c>
      <c r="B916" s="2" t="s">
        <v>968</v>
      </c>
      <c r="C916" s="2" t="s">
        <v>86</v>
      </c>
      <c r="D916" s="3">
        <v>685</v>
      </c>
      <c r="E916" s="4" t="s">
        <v>72</v>
      </c>
      <c r="F916" s="5">
        <v>8320.58</v>
      </c>
      <c r="G916" s="4" t="s">
        <v>73</v>
      </c>
      <c r="H916" s="6">
        <f t="shared" si="14"/>
        <v>5699597.2999999998</v>
      </c>
    </row>
    <row r="917" spans="1:8" x14ac:dyDescent="0.2">
      <c r="A917" s="2" t="s">
        <v>982</v>
      </c>
      <c r="B917" s="2" t="s">
        <v>968</v>
      </c>
      <c r="C917" s="2" t="s">
        <v>118</v>
      </c>
      <c r="D917" s="3">
        <v>434</v>
      </c>
      <c r="E917" s="4" t="s">
        <v>24</v>
      </c>
      <c r="F917" s="5">
        <v>0.68</v>
      </c>
      <c r="G917" s="4" t="s">
        <v>25</v>
      </c>
      <c r="H917" s="6">
        <f t="shared" si="14"/>
        <v>295.12</v>
      </c>
    </row>
    <row r="918" spans="1:8" x14ac:dyDescent="0.2">
      <c r="A918" s="2" t="s">
        <v>983</v>
      </c>
      <c r="B918" s="2" t="s">
        <v>968</v>
      </c>
      <c r="C918" s="2" t="s">
        <v>71</v>
      </c>
      <c r="D918" s="3">
        <v>1928</v>
      </c>
      <c r="E918" s="4" t="s">
        <v>72</v>
      </c>
      <c r="F918" s="5">
        <v>2657.54</v>
      </c>
      <c r="G918" s="4" t="s">
        <v>73</v>
      </c>
      <c r="H918" s="6">
        <f t="shared" si="14"/>
        <v>5123737.12</v>
      </c>
    </row>
    <row r="919" spans="1:8" x14ac:dyDescent="0.2">
      <c r="A919" s="2" t="s">
        <v>984</v>
      </c>
      <c r="B919" s="2" t="s">
        <v>968</v>
      </c>
      <c r="C919" s="2" t="s">
        <v>27</v>
      </c>
      <c r="D919" s="3">
        <v>789</v>
      </c>
      <c r="E919" s="4" t="s">
        <v>20</v>
      </c>
      <c r="F919" s="5">
        <v>1.2</v>
      </c>
      <c r="G919" s="4" t="s">
        <v>21</v>
      </c>
      <c r="H919" s="6">
        <f t="shared" si="14"/>
        <v>946.8</v>
      </c>
    </row>
    <row r="920" spans="1:8" x14ac:dyDescent="0.2">
      <c r="A920" s="2" t="s">
        <v>985</v>
      </c>
      <c r="B920" s="2" t="s">
        <v>968</v>
      </c>
      <c r="C920" s="2" t="s">
        <v>48</v>
      </c>
      <c r="D920" s="3">
        <v>648</v>
      </c>
      <c r="E920" s="4" t="s">
        <v>24</v>
      </c>
      <c r="F920" s="5">
        <v>7.0000000000000007E-2</v>
      </c>
      <c r="G920" s="4" t="s">
        <v>25</v>
      </c>
      <c r="H920" s="6">
        <f t="shared" si="14"/>
        <v>45.360000000000007</v>
      </c>
    </row>
    <row r="921" spans="1:8" x14ac:dyDescent="0.2">
      <c r="A921" s="2" t="s">
        <v>986</v>
      </c>
      <c r="B921" s="2" t="s">
        <v>968</v>
      </c>
      <c r="C921" s="2" t="s">
        <v>42</v>
      </c>
      <c r="D921" s="3">
        <v>4265</v>
      </c>
      <c r="E921" s="4" t="s">
        <v>24</v>
      </c>
      <c r="F921" s="5">
        <v>5.54</v>
      </c>
      <c r="G921" s="4" t="s">
        <v>25</v>
      </c>
      <c r="H921" s="6">
        <f t="shared" si="14"/>
        <v>23628.1</v>
      </c>
    </row>
    <row r="922" spans="1:8" x14ac:dyDescent="0.2">
      <c r="A922" s="2" t="s">
        <v>987</v>
      </c>
      <c r="B922" s="2" t="s">
        <v>968</v>
      </c>
      <c r="C922" s="2" t="s">
        <v>33</v>
      </c>
      <c r="D922" s="3">
        <v>76</v>
      </c>
      <c r="E922" s="4" t="s">
        <v>34</v>
      </c>
      <c r="F922" s="5">
        <v>5.24</v>
      </c>
      <c r="G922" s="4" t="s">
        <v>35</v>
      </c>
      <c r="H922" s="6">
        <f t="shared" si="14"/>
        <v>398.24</v>
      </c>
    </row>
    <row r="923" spans="1:8" x14ac:dyDescent="0.2">
      <c r="A923" s="2" t="s">
        <v>988</v>
      </c>
      <c r="B923" s="2" t="s">
        <v>968</v>
      </c>
      <c r="C923" s="2" t="s">
        <v>50</v>
      </c>
      <c r="D923" s="3">
        <v>3469</v>
      </c>
      <c r="E923" s="4" t="s">
        <v>20</v>
      </c>
      <c r="F923" s="5">
        <v>1.1200000000000001</v>
      </c>
      <c r="G923" s="4" t="s">
        <v>21</v>
      </c>
      <c r="H923" s="6">
        <f t="shared" si="14"/>
        <v>3885.28</v>
      </c>
    </row>
    <row r="924" spans="1:8" x14ac:dyDescent="0.2">
      <c r="A924" s="2" t="s">
        <v>989</v>
      </c>
      <c r="B924" s="2" t="s">
        <v>968</v>
      </c>
      <c r="C924" s="2" t="s">
        <v>48</v>
      </c>
      <c r="D924" s="3">
        <v>590</v>
      </c>
      <c r="E924" s="4" t="s">
        <v>24</v>
      </c>
      <c r="F924" s="5">
        <v>0.08</v>
      </c>
      <c r="G924" s="4" t="s">
        <v>25</v>
      </c>
      <c r="H924" s="6">
        <f t="shared" si="14"/>
        <v>47.2</v>
      </c>
    </row>
    <row r="925" spans="1:8" x14ac:dyDescent="0.2">
      <c r="A925" s="2" t="s">
        <v>990</v>
      </c>
      <c r="B925" s="2" t="s">
        <v>968</v>
      </c>
      <c r="C925" s="2" t="s">
        <v>27</v>
      </c>
      <c r="D925" s="3">
        <v>849</v>
      </c>
      <c r="E925" s="4" t="s">
        <v>20</v>
      </c>
      <c r="F925" s="5">
        <v>1.32</v>
      </c>
      <c r="G925" s="4" t="s">
        <v>21</v>
      </c>
      <c r="H925" s="6">
        <f t="shared" si="14"/>
        <v>1120.68</v>
      </c>
    </row>
    <row r="926" spans="1:8" x14ac:dyDescent="0.2">
      <c r="A926" s="2" t="s">
        <v>991</v>
      </c>
      <c r="B926" s="2" t="s">
        <v>968</v>
      </c>
      <c r="C926" s="2" t="s">
        <v>19</v>
      </c>
      <c r="D926" s="3">
        <v>2461</v>
      </c>
      <c r="E926" s="4" t="s">
        <v>20</v>
      </c>
      <c r="F926" s="5">
        <v>1.18</v>
      </c>
      <c r="G926" s="4" t="s">
        <v>21</v>
      </c>
      <c r="H926" s="6">
        <f t="shared" si="14"/>
        <v>2903.98</v>
      </c>
    </row>
    <row r="927" spans="1:8" x14ac:dyDescent="0.2">
      <c r="A927" s="2" t="s">
        <v>992</v>
      </c>
      <c r="B927" s="2" t="s">
        <v>968</v>
      </c>
      <c r="C927" s="2" t="s">
        <v>89</v>
      </c>
      <c r="D927" s="3">
        <v>1180</v>
      </c>
      <c r="E927" s="4" t="s">
        <v>30</v>
      </c>
      <c r="F927" s="5">
        <v>1.88</v>
      </c>
      <c r="G927" s="4" t="s">
        <v>31</v>
      </c>
      <c r="H927" s="6">
        <f t="shared" si="14"/>
        <v>2218.4</v>
      </c>
    </row>
    <row r="928" spans="1:8" x14ac:dyDescent="0.2">
      <c r="A928" s="2" t="s">
        <v>993</v>
      </c>
      <c r="B928" s="2" t="s">
        <v>968</v>
      </c>
      <c r="C928" s="2" t="s">
        <v>46</v>
      </c>
      <c r="D928" s="3">
        <v>79</v>
      </c>
      <c r="E928" s="4" t="s">
        <v>20</v>
      </c>
      <c r="F928" s="5">
        <v>3.22</v>
      </c>
      <c r="G928" s="4" t="s">
        <v>21</v>
      </c>
      <c r="H928" s="6">
        <f t="shared" si="14"/>
        <v>254.38000000000002</v>
      </c>
    </row>
    <row r="929" spans="1:8" x14ac:dyDescent="0.2">
      <c r="A929" s="2" t="s">
        <v>994</v>
      </c>
      <c r="B929" s="2" t="s">
        <v>968</v>
      </c>
      <c r="C929" s="2" t="s">
        <v>118</v>
      </c>
      <c r="D929" s="3">
        <v>3615</v>
      </c>
      <c r="E929" s="4" t="s">
        <v>24</v>
      </c>
      <c r="F929" s="5">
        <v>0.65</v>
      </c>
      <c r="G929" s="4" t="s">
        <v>25</v>
      </c>
      <c r="H929" s="6">
        <f t="shared" si="14"/>
        <v>2349.75</v>
      </c>
    </row>
    <row r="930" spans="1:8" x14ac:dyDescent="0.2">
      <c r="A930" s="2" t="s">
        <v>995</v>
      </c>
      <c r="B930" s="2" t="s">
        <v>968</v>
      </c>
      <c r="C930" s="2" t="s">
        <v>44</v>
      </c>
      <c r="D930" s="3">
        <v>1250</v>
      </c>
      <c r="E930" s="4" t="s">
        <v>24</v>
      </c>
      <c r="F930" s="5">
        <v>1.54</v>
      </c>
      <c r="G930" s="4" t="s">
        <v>25</v>
      </c>
      <c r="H930" s="6">
        <f t="shared" si="14"/>
        <v>1925</v>
      </c>
    </row>
    <row r="931" spans="1:8" x14ac:dyDescent="0.2">
      <c r="A931" s="2" t="s">
        <v>996</v>
      </c>
      <c r="B931" s="2" t="s">
        <v>968</v>
      </c>
      <c r="C931" s="2" t="s">
        <v>147</v>
      </c>
      <c r="D931" s="3">
        <v>3634</v>
      </c>
      <c r="E931" s="4" t="s">
        <v>53</v>
      </c>
      <c r="F931" s="5">
        <v>14.88</v>
      </c>
      <c r="G931" s="4" t="s">
        <v>54</v>
      </c>
      <c r="H931" s="6">
        <f t="shared" si="14"/>
        <v>54073.920000000006</v>
      </c>
    </row>
    <row r="932" spans="1:8" x14ac:dyDescent="0.2">
      <c r="A932" s="2" t="s">
        <v>997</v>
      </c>
      <c r="B932" s="2" t="s">
        <v>968</v>
      </c>
      <c r="C932" s="2" t="s">
        <v>27</v>
      </c>
      <c r="D932" s="3">
        <v>833</v>
      </c>
      <c r="E932" s="4" t="s">
        <v>20</v>
      </c>
      <c r="F932" s="5">
        <v>1.37</v>
      </c>
      <c r="G932" s="4" t="s">
        <v>21</v>
      </c>
      <c r="H932" s="6">
        <f t="shared" si="14"/>
        <v>1141.21</v>
      </c>
    </row>
    <row r="933" spans="1:8" x14ac:dyDescent="0.2">
      <c r="A933" s="2" t="s">
        <v>998</v>
      </c>
      <c r="B933" s="2" t="s">
        <v>968</v>
      </c>
      <c r="C933" s="2" t="s">
        <v>50</v>
      </c>
      <c r="D933" s="3">
        <v>4839</v>
      </c>
      <c r="E933" s="4" t="s">
        <v>20</v>
      </c>
      <c r="F933" s="5">
        <v>1.1399999999999999</v>
      </c>
      <c r="G933" s="4" t="s">
        <v>21</v>
      </c>
      <c r="H933" s="6">
        <f t="shared" si="14"/>
        <v>5516.4599999999991</v>
      </c>
    </row>
    <row r="934" spans="1:8" x14ac:dyDescent="0.2">
      <c r="A934" s="2" t="s">
        <v>999</v>
      </c>
      <c r="B934" s="2" t="s">
        <v>968</v>
      </c>
      <c r="C934" s="2" t="s">
        <v>19</v>
      </c>
      <c r="D934" s="3">
        <v>3527</v>
      </c>
      <c r="E934" s="4" t="s">
        <v>20</v>
      </c>
      <c r="F934" s="5">
        <v>1.29</v>
      </c>
      <c r="G934" s="4" t="s">
        <v>21</v>
      </c>
      <c r="H934" s="6">
        <f t="shared" si="14"/>
        <v>4549.83</v>
      </c>
    </row>
    <row r="935" spans="1:8" x14ac:dyDescent="0.2">
      <c r="A935" s="2" t="s">
        <v>1000</v>
      </c>
      <c r="B935" s="2" t="s">
        <v>968</v>
      </c>
      <c r="C935" s="2" t="s">
        <v>89</v>
      </c>
      <c r="D935" s="3">
        <v>2039</v>
      </c>
      <c r="E935" s="4" t="s">
        <v>30</v>
      </c>
      <c r="F935" s="5">
        <v>2.13</v>
      </c>
      <c r="G935" s="4" t="s">
        <v>31</v>
      </c>
      <c r="H935" s="6">
        <f t="shared" si="14"/>
        <v>4343.07</v>
      </c>
    </row>
    <row r="936" spans="1:8" x14ac:dyDescent="0.2">
      <c r="A936" s="2" t="s">
        <v>1001</v>
      </c>
      <c r="B936" s="2" t="s">
        <v>968</v>
      </c>
      <c r="C936" s="2" t="s">
        <v>27</v>
      </c>
      <c r="D936" s="3">
        <v>2042</v>
      </c>
      <c r="E936" s="4" t="s">
        <v>20</v>
      </c>
      <c r="F936" s="5">
        <v>1.86</v>
      </c>
      <c r="G936" s="4" t="s">
        <v>21</v>
      </c>
      <c r="H936" s="6">
        <f t="shared" si="14"/>
        <v>3798.1200000000003</v>
      </c>
    </row>
    <row r="937" spans="1:8" x14ac:dyDescent="0.2">
      <c r="A937" s="2" t="s">
        <v>1002</v>
      </c>
      <c r="B937" s="2" t="s">
        <v>968</v>
      </c>
      <c r="C937" s="2" t="s">
        <v>147</v>
      </c>
      <c r="D937" s="3">
        <v>4987</v>
      </c>
      <c r="E937" s="4" t="s">
        <v>53</v>
      </c>
      <c r="F937" s="5">
        <v>10.28</v>
      </c>
      <c r="G937" s="4" t="s">
        <v>54</v>
      </c>
      <c r="H937" s="6">
        <f t="shared" si="14"/>
        <v>51266.359999999993</v>
      </c>
    </row>
    <row r="938" spans="1:8" x14ac:dyDescent="0.2">
      <c r="A938" s="2" t="s">
        <v>1003</v>
      </c>
      <c r="B938" s="2" t="s">
        <v>968</v>
      </c>
      <c r="C938" s="2" t="s">
        <v>33</v>
      </c>
      <c r="D938" s="3">
        <v>2481</v>
      </c>
      <c r="E938" s="4" t="s">
        <v>34</v>
      </c>
      <c r="F938" s="5">
        <v>4.01</v>
      </c>
      <c r="G938" s="4" t="s">
        <v>35</v>
      </c>
      <c r="H938" s="6">
        <f t="shared" si="14"/>
        <v>9948.81</v>
      </c>
    </row>
    <row r="939" spans="1:8" x14ac:dyDescent="0.2">
      <c r="A939" s="2" t="s">
        <v>1004</v>
      </c>
      <c r="B939" s="2" t="s">
        <v>968</v>
      </c>
      <c r="C939" s="2" t="s">
        <v>147</v>
      </c>
      <c r="D939" s="3">
        <v>4184</v>
      </c>
      <c r="E939" s="4" t="s">
        <v>53</v>
      </c>
      <c r="F939" s="5">
        <v>9.51</v>
      </c>
      <c r="G939" s="4" t="s">
        <v>54</v>
      </c>
      <c r="H939" s="6">
        <f t="shared" si="14"/>
        <v>39789.839999999997</v>
      </c>
    </row>
    <row r="940" spans="1:8" x14ac:dyDescent="0.2">
      <c r="A940" s="2" t="s">
        <v>1005</v>
      </c>
      <c r="B940" s="2" t="s">
        <v>968</v>
      </c>
      <c r="C940" s="2" t="s">
        <v>67</v>
      </c>
      <c r="D940" s="3">
        <v>2431</v>
      </c>
      <c r="E940" s="4" t="s">
        <v>24</v>
      </c>
      <c r="F940" s="5">
        <v>0.49</v>
      </c>
      <c r="G940" s="4" t="s">
        <v>25</v>
      </c>
      <c r="H940" s="6">
        <f t="shared" si="14"/>
        <v>1191.19</v>
      </c>
    </row>
    <row r="941" spans="1:8" x14ac:dyDescent="0.2">
      <c r="A941" s="2" t="s">
        <v>1006</v>
      </c>
      <c r="B941" s="2" t="s">
        <v>968</v>
      </c>
      <c r="C941" s="2" t="s">
        <v>42</v>
      </c>
      <c r="D941" s="3">
        <v>4064</v>
      </c>
      <c r="E941" s="4" t="s">
        <v>24</v>
      </c>
      <c r="F941" s="5">
        <v>4.66</v>
      </c>
      <c r="G941" s="4" t="s">
        <v>25</v>
      </c>
      <c r="H941" s="6">
        <f t="shared" si="14"/>
        <v>18938.240000000002</v>
      </c>
    </row>
    <row r="942" spans="1:8" x14ac:dyDescent="0.2">
      <c r="A942" s="2" t="s">
        <v>1007</v>
      </c>
      <c r="B942" s="2" t="s">
        <v>968</v>
      </c>
      <c r="C942" s="2" t="s">
        <v>42</v>
      </c>
      <c r="D942" s="3">
        <v>4102</v>
      </c>
      <c r="E942" s="4" t="s">
        <v>24</v>
      </c>
      <c r="F942" s="5">
        <v>5.41</v>
      </c>
      <c r="G942" s="4" t="s">
        <v>25</v>
      </c>
      <c r="H942" s="6">
        <f t="shared" si="14"/>
        <v>22191.82</v>
      </c>
    </row>
    <row r="943" spans="1:8" x14ac:dyDescent="0.2">
      <c r="A943" s="2" t="s">
        <v>1008</v>
      </c>
      <c r="B943" s="2" t="s">
        <v>968</v>
      </c>
      <c r="C943" s="2" t="s">
        <v>27</v>
      </c>
      <c r="D943" s="3">
        <v>4337</v>
      </c>
      <c r="E943" s="4" t="s">
        <v>20</v>
      </c>
      <c r="F943" s="5">
        <v>2.27</v>
      </c>
      <c r="G943" s="4" t="s">
        <v>21</v>
      </c>
      <c r="H943" s="6">
        <f t="shared" si="14"/>
        <v>9844.99</v>
      </c>
    </row>
    <row r="944" spans="1:8" x14ac:dyDescent="0.2">
      <c r="A944" s="2" t="s">
        <v>1009</v>
      </c>
      <c r="B944" s="2" t="s">
        <v>968</v>
      </c>
      <c r="C944" s="2" t="s">
        <v>33</v>
      </c>
      <c r="D944" s="3">
        <v>2968</v>
      </c>
      <c r="E944" s="4" t="s">
        <v>34</v>
      </c>
      <c r="F944" s="5">
        <v>5.83</v>
      </c>
      <c r="G944" s="4" t="s">
        <v>35</v>
      </c>
      <c r="H944" s="6">
        <f t="shared" si="14"/>
        <v>17303.439999999999</v>
      </c>
    </row>
    <row r="945" spans="1:8" x14ac:dyDescent="0.2">
      <c r="A945" s="2" t="s">
        <v>1010</v>
      </c>
      <c r="B945" s="2" t="s">
        <v>968</v>
      </c>
      <c r="C945" s="2" t="s">
        <v>89</v>
      </c>
      <c r="D945" s="3">
        <v>3178</v>
      </c>
      <c r="E945" s="4" t="s">
        <v>30</v>
      </c>
      <c r="F945" s="5">
        <v>2.83</v>
      </c>
      <c r="G945" s="4" t="s">
        <v>31</v>
      </c>
      <c r="H945" s="6">
        <f t="shared" si="14"/>
        <v>8993.74</v>
      </c>
    </row>
    <row r="946" spans="1:8" x14ac:dyDescent="0.2">
      <c r="A946" s="2" t="s">
        <v>1011</v>
      </c>
      <c r="B946" s="2" t="s">
        <v>968</v>
      </c>
      <c r="C946" s="2" t="s">
        <v>46</v>
      </c>
      <c r="D946" s="3">
        <v>3457</v>
      </c>
      <c r="E946" s="4" t="s">
        <v>20</v>
      </c>
      <c r="F946" s="5">
        <v>2.73</v>
      </c>
      <c r="G946" s="4" t="s">
        <v>21</v>
      </c>
      <c r="H946" s="6">
        <f t="shared" si="14"/>
        <v>9437.61</v>
      </c>
    </row>
    <row r="947" spans="1:8" x14ac:dyDescent="0.2">
      <c r="A947" s="2" t="s">
        <v>1012</v>
      </c>
      <c r="B947" s="2" t="s">
        <v>968</v>
      </c>
      <c r="C947" s="2" t="s">
        <v>118</v>
      </c>
      <c r="D947" s="3">
        <v>3868</v>
      </c>
      <c r="E947" s="4" t="s">
        <v>24</v>
      </c>
      <c r="F947" s="5">
        <v>1.07</v>
      </c>
      <c r="G947" s="4" t="s">
        <v>25</v>
      </c>
      <c r="H947" s="6">
        <f t="shared" si="14"/>
        <v>4138.76</v>
      </c>
    </row>
    <row r="948" spans="1:8" x14ac:dyDescent="0.2">
      <c r="A948" s="2" t="s">
        <v>1013</v>
      </c>
      <c r="B948" s="2" t="s">
        <v>968</v>
      </c>
      <c r="C948" s="2" t="s">
        <v>27</v>
      </c>
      <c r="D948" s="3">
        <v>146</v>
      </c>
      <c r="E948" s="4" t="s">
        <v>20</v>
      </c>
      <c r="F948" s="5">
        <v>1.9</v>
      </c>
      <c r="G948" s="4" t="s">
        <v>21</v>
      </c>
      <c r="H948" s="6">
        <f t="shared" si="14"/>
        <v>277.39999999999998</v>
      </c>
    </row>
    <row r="949" spans="1:8" x14ac:dyDescent="0.2">
      <c r="A949" s="2" t="s">
        <v>1014</v>
      </c>
      <c r="B949" s="2" t="s">
        <v>968</v>
      </c>
      <c r="C949" s="2" t="s">
        <v>33</v>
      </c>
      <c r="D949" s="3">
        <v>2157</v>
      </c>
      <c r="E949" s="4" t="s">
        <v>34</v>
      </c>
      <c r="F949" s="5">
        <v>4.04</v>
      </c>
      <c r="G949" s="4" t="s">
        <v>35</v>
      </c>
      <c r="H949" s="6">
        <f t="shared" si="14"/>
        <v>8714.2800000000007</v>
      </c>
    </row>
    <row r="950" spans="1:8" x14ac:dyDescent="0.2">
      <c r="A950" s="2" t="s">
        <v>1015</v>
      </c>
      <c r="B950" s="2" t="s">
        <v>968</v>
      </c>
      <c r="C950" s="2" t="s">
        <v>37</v>
      </c>
      <c r="D950" s="3">
        <v>3270</v>
      </c>
      <c r="E950" s="4" t="s">
        <v>38</v>
      </c>
      <c r="F950" s="5">
        <v>3.52</v>
      </c>
      <c r="G950" s="4" t="s">
        <v>39</v>
      </c>
      <c r="H950" s="6">
        <f t="shared" si="14"/>
        <v>11510.4</v>
      </c>
    </row>
    <row r="951" spans="1:8" x14ac:dyDescent="0.2">
      <c r="A951" s="2" t="s">
        <v>1016</v>
      </c>
      <c r="B951" s="2" t="s">
        <v>968</v>
      </c>
      <c r="C951" s="2" t="s">
        <v>78</v>
      </c>
      <c r="D951" s="3">
        <v>3413</v>
      </c>
      <c r="E951" s="4" t="s">
        <v>38</v>
      </c>
      <c r="F951" s="5">
        <v>2.2200000000000002</v>
      </c>
      <c r="G951" s="4" t="s">
        <v>39</v>
      </c>
      <c r="H951" s="6">
        <f t="shared" si="14"/>
        <v>7576.8600000000006</v>
      </c>
    </row>
    <row r="952" spans="1:8" x14ac:dyDescent="0.2">
      <c r="A952" s="2" t="s">
        <v>1017</v>
      </c>
      <c r="B952" s="2" t="s">
        <v>968</v>
      </c>
      <c r="C952" s="2" t="s">
        <v>67</v>
      </c>
      <c r="D952" s="3">
        <v>685</v>
      </c>
      <c r="E952" s="4" t="s">
        <v>24</v>
      </c>
      <c r="F952" s="5">
        <v>0.49</v>
      </c>
      <c r="G952" s="4" t="s">
        <v>25</v>
      </c>
      <c r="H952" s="6">
        <f t="shared" si="14"/>
        <v>335.65</v>
      </c>
    </row>
    <row r="953" spans="1:8" x14ac:dyDescent="0.2">
      <c r="A953" s="2" t="s">
        <v>1018</v>
      </c>
      <c r="B953" s="2" t="s">
        <v>968</v>
      </c>
      <c r="C953" s="2" t="s">
        <v>29</v>
      </c>
      <c r="D953" s="3">
        <v>1260</v>
      </c>
      <c r="E953" s="4" t="s">
        <v>30</v>
      </c>
      <c r="F953" s="5">
        <v>1.33</v>
      </c>
      <c r="G953" s="4" t="s">
        <v>31</v>
      </c>
      <c r="H953" s="6">
        <f t="shared" si="14"/>
        <v>1675.8000000000002</v>
      </c>
    </row>
    <row r="954" spans="1:8" x14ac:dyDescent="0.2">
      <c r="A954" s="2" t="s">
        <v>1019</v>
      </c>
      <c r="B954" s="2" t="s">
        <v>968</v>
      </c>
      <c r="C954" s="2" t="s">
        <v>71</v>
      </c>
      <c r="D954" s="3">
        <v>657</v>
      </c>
      <c r="E954" s="4" t="s">
        <v>72</v>
      </c>
      <c r="F954" s="5">
        <v>2706.78</v>
      </c>
      <c r="G954" s="4" t="s">
        <v>73</v>
      </c>
      <c r="H954" s="6">
        <f t="shared" si="14"/>
        <v>1778354.4600000002</v>
      </c>
    </row>
    <row r="955" spans="1:8" x14ac:dyDescent="0.2">
      <c r="A955" s="2" t="s">
        <v>1020</v>
      </c>
      <c r="B955" s="2" t="s">
        <v>968</v>
      </c>
      <c r="C955" s="2" t="s">
        <v>44</v>
      </c>
      <c r="D955" s="3">
        <v>1282</v>
      </c>
      <c r="E955" s="4" t="s">
        <v>24</v>
      </c>
      <c r="F955" s="5">
        <v>1.28</v>
      </c>
      <c r="G955" s="4" t="s">
        <v>25</v>
      </c>
      <c r="H955" s="6">
        <f t="shared" si="14"/>
        <v>1640.96</v>
      </c>
    </row>
    <row r="956" spans="1:8" x14ac:dyDescent="0.2">
      <c r="A956" s="2" t="s">
        <v>1021</v>
      </c>
      <c r="B956" s="2" t="s">
        <v>968</v>
      </c>
      <c r="C956" s="2" t="s">
        <v>67</v>
      </c>
      <c r="D956" s="3">
        <v>4814</v>
      </c>
      <c r="E956" s="4" t="s">
        <v>24</v>
      </c>
      <c r="F956" s="5">
        <v>0.49</v>
      </c>
      <c r="G956" s="4" t="s">
        <v>25</v>
      </c>
      <c r="H956" s="6">
        <f t="shared" si="14"/>
        <v>2358.86</v>
      </c>
    </row>
    <row r="957" spans="1:8" x14ac:dyDescent="0.2">
      <c r="A957" s="2" t="s">
        <v>1022</v>
      </c>
      <c r="B957" s="2" t="s">
        <v>968</v>
      </c>
      <c r="C957" s="2" t="s">
        <v>27</v>
      </c>
      <c r="D957" s="3">
        <v>2550</v>
      </c>
      <c r="E957" s="4" t="s">
        <v>20</v>
      </c>
      <c r="F957" s="5">
        <v>2.04</v>
      </c>
      <c r="G957" s="4" t="s">
        <v>21</v>
      </c>
      <c r="H957" s="6">
        <f t="shared" si="14"/>
        <v>5202</v>
      </c>
    </row>
    <row r="958" spans="1:8" x14ac:dyDescent="0.2">
      <c r="A958" s="2" t="s">
        <v>1023</v>
      </c>
      <c r="B958" s="2" t="s">
        <v>968</v>
      </c>
      <c r="C958" s="2" t="s">
        <v>42</v>
      </c>
      <c r="D958" s="3">
        <v>484</v>
      </c>
      <c r="E958" s="4" t="s">
        <v>24</v>
      </c>
      <c r="F958" s="5">
        <v>4.2300000000000004</v>
      </c>
      <c r="G958" s="4" t="s">
        <v>25</v>
      </c>
      <c r="H958" s="6">
        <f t="shared" si="14"/>
        <v>2047.3200000000002</v>
      </c>
    </row>
    <row r="959" spans="1:8" x14ac:dyDescent="0.2">
      <c r="A959" s="2" t="s">
        <v>1024</v>
      </c>
      <c r="B959" s="2" t="s">
        <v>968</v>
      </c>
      <c r="C959" s="2" t="s">
        <v>52</v>
      </c>
      <c r="D959" s="3">
        <v>960</v>
      </c>
      <c r="E959" s="4" t="s">
        <v>53</v>
      </c>
      <c r="F959" s="5">
        <v>11.27</v>
      </c>
      <c r="G959" s="4" t="s">
        <v>54</v>
      </c>
      <c r="H959" s="6">
        <f t="shared" si="14"/>
        <v>10819.199999999999</v>
      </c>
    </row>
    <row r="960" spans="1:8" x14ac:dyDescent="0.2">
      <c r="A960" s="2" t="s">
        <v>1025</v>
      </c>
      <c r="B960" s="2" t="s">
        <v>968</v>
      </c>
      <c r="C960" s="2" t="s">
        <v>147</v>
      </c>
      <c r="D960" s="3">
        <v>460</v>
      </c>
      <c r="E960" s="4" t="s">
        <v>53</v>
      </c>
      <c r="F960" s="5">
        <v>10.47</v>
      </c>
      <c r="G960" s="4" t="s">
        <v>54</v>
      </c>
      <c r="H960" s="6">
        <f t="shared" si="14"/>
        <v>4816.2000000000007</v>
      </c>
    </row>
    <row r="961" spans="1:8" x14ac:dyDescent="0.2">
      <c r="A961" s="2" t="s">
        <v>1026</v>
      </c>
      <c r="B961" s="2" t="s">
        <v>968</v>
      </c>
      <c r="C961" s="2" t="s">
        <v>118</v>
      </c>
      <c r="D961" s="3">
        <v>988</v>
      </c>
      <c r="E961" s="4" t="s">
        <v>24</v>
      </c>
      <c r="F961" s="5">
        <v>0.41</v>
      </c>
      <c r="G961" s="4" t="s">
        <v>25</v>
      </c>
      <c r="H961" s="6">
        <f t="shared" si="14"/>
        <v>405.08</v>
      </c>
    </row>
    <row r="962" spans="1:8" x14ac:dyDescent="0.2">
      <c r="A962" s="2" t="s">
        <v>1027</v>
      </c>
      <c r="B962" s="2" t="s">
        <v>968</v>
      </c>
      <c r="C962" s="2" t="s">
        <v>89</v>
      </c>
      <c r="D962" s="3">
        <v>102</v>
      </c>
      <c r="E962" s="4" t="s">
        <v>30</v>
      </c>
      <c r="F962" s="5">
        <v>2</v>
      </c>
      <c r="G962" s="4" t="s">
        <v>31</v>
      </c>
      <c r="H962" s="6">
        <f t="shared" ref="H962:H1025" si="15">D962*F962</f>
        <v>204</v>
      </c>
    </row>
    <row r="963" spans="1:8" x14ac:dyDescent="0.2">
      <c r="A963" s="2" t="s">
        <v>1028</v>
      </c>
      <c r="B963" s="2" t="s">
        <v>968</v>
      </c>
      <c r="C963" s="2" t="s">
        <v>19</v>
      </c>
      <c r="D963" s="3">
        <v>4294</v>
      </c>
      <c r="E963" s="4" t="s">
        <v>20</v>
      </c>
      <c r="F963" s="5">
        <v>1.41</v>
      </c>
      <c r="G963" s="4" t="s">
        <v>21</v>
      </c>
      <c r="H963" s="6">
        <f t="shared" si="15"/>
        <v>6054.54</v>
      </c>
    </row>
    <row r="964" spans="1:8" x14ac:dyDescent="0.2">
      <c r="A964" s="2" t="s">
        <v>1029</v>
      </c>
      <c r="B964" s="2" t="s">
        <v>968</v>
      </c>
      <c r="C964" s="2" t="s">
        <v>86</v>
      </c>
      <c r="D964" s="3">
        <v>1377</v>
      </c>
      <c r="E964" s="4" t="s">
        <v>72</v>
      </c>
      <c r="F964" s="5">
        <v>8320.6200000000008</v>
      </c>
      <c r="G964" s="4" t="s">
        <v>73</v>
      </c>
      <c r="H964" s="6">
        <f t="shared" si="15"/>
        <v>11457493.74</v>
      </c>
    </row>
    <row r="965" spans="1:8" x14ac:dyDescent="0.2">
      <c r="A965" s="2" t="s">
        <v>1030</v>
      </c>
      <c r="B965" s="2" t="s">
        <v>968</v>
      </c>
      <c r="C965" s="2" t="s">
        <v>86</v>
      </c>
      <c r="D965" s="3">
        <v>977</v>
      </c>
      <c r="E965" s="4" t="s">
        <v>72</v>
      </c>
      <c r="F965" s="5">
        <v>8880</v>
      </c>
      <c r="G965" s="4" t="s">
        <v>73</v>
      </c>
      <c r="H965" s="6">
        <f t="shared" si="15"/>
        <v>8675760</v>
      </c>
    </row>
    <row r="966" spans="1:8" x14ac:dyDescent="0.2">
      <c r="A966" s="2" t="s">
        <v>1031</v>
      </c>
      <c r="B966" s="2" t="s">
        <v>968</v>
      </c>
      <c r="C966" s="2" t="s">
        <v>33</v>
      </c>
      <c r="D966" s="3">
        <v>2754</v>
      </c>
      <c r="E966" s="4" t="s">
        <v>34</v>
      </c>
      <c r="F966" s="5">
        <v>5.52</v>
      </c>
      <c r="G966" s="4" t="s">
        <v>35</v>
      </c>
      <c r="H966" s="6">
        <f t="shared" si="15"/>
        <v>15202.079999999998</v>
      </c>
    </row>
    <row r="967" spans="1:8" x14ac:dyDescent="0.2">
      <c r="A967" s="2" t="s">
        <v>1032</v>
      </c>
      <c r="B967" s="2" t="s">
        <v>968</v>
      </c>
      <c r="C967" s="2" t="s">
        <v>86</v>
      </c>
      <c r="D967" s="3">
        <v>4301</v>
      </c>
      <c r="E967" s="4" t="s">
        <v>72</v>
      </c>
      <c r="F967" s="5">
        <v>7889.42</v>
      </c>
      <c r="G967" s="4" t="s">
        <v>73</v>
      </c>
      <c r="H967" s="6">
        <f t="shared" si="15"/>
        <v>33932395.420000002</v>
      </c>
    </row>
    <row r="968" spans="1:8" x14ac:dyDescent="0.2">
      <c r="A968" s="2" t="s">
        <v>1033</v>
      </c>
      <c r="B968" s="2" t="s">
        <v>968</v>
      </c>
      <c r="C968" s="2" t="s">
        <v>46</v>
      </c>
      <c r="D968" s="3">
        <v>641</v>
      </c>
      <c r="E968" s="4" t="s">
        <v>20</v>
      </c>
      <c r="F968" s="5">
        <v>2.99</v>
      </c>
      <c r="G968" s="4" t="s">
        <v>21</v>
      </c>
      <c r="H968" s="6">
        <f t="shared" si="15"/>
        <v>1916.5900000000001</v>
      </c>
    </row>
    <row r="969" spans="1:8" x14ac:dyDescent="0.2">
      <c r="A969" s="2" t="s">
        <v>1034</v>
      </c>
      <c r="B969" s="2" t="s">
        <v>968</v>
      </c>
      <c r="C969" s="2" t="s">
        <v>78</v>
      </c>
      <c r="D969" s="3">
        <v>2960</v>
      </c>
      <c r="E969" s="4" t="s">
        <v>38</v>
      </c>
      <c r="F969" s="5">
        <v>1.59</v>
      </c>
      <c r="G969" s="4" t="s">
        <v>39</v>
      </c>
      <c r="H969" s="6">
        <f t="shared" si="15"/>
        <v>4706.4000000000005</v>
      </c>
    </row>
    <row r="970" spans="1:8" x14ac:dyDescent="0.2">
      <c r="A970" s="2" t="s">
        <v>1035</v>
      </c>
      <c r="B970" s="2" t="s">
        <v>968</v>
      </c>
      <c r="C970" s="2" t="s">
        <v>46</v>
      </c>
      <c r="D970" s="3">
        <v>1377</v>
      </c>
      <c r="E970" s="4" t="s">
        <v>20</v>
      </c>
      <c r="F970" s="5">
        <v>2.74</v>
      </c>
      <c r="G970" s="4" t="s">
        <v>21</v>
      </c>
      <c r="H970" s="6">
        <f t="shared" si="15"/>
        <v>3772.9800000000005</v>
      </c>
    </row>
    <row r="971" spans="1:8" x14ac:dyDescent="0.2">
      <c r="A971" s="2" t="s">
        <v>1036</v>
      </c>
      <c r="B971" s="2" t="s">
        <v>968</v>
      </c>
      <c r="C971" s="2" t="s">
        <v>86</v>
      </c>
      <c r="D971" s="3">
        <v>852</v>
      </c>
      <c r="E971" s="4" t="s">
        <v>72</v>
      </c>
      <c r="F971" s="5">
        <v>9051.98</v>
      </c>
      <c r="G971" s="4" t="s">
        <v>73</v>
      </c>
      <c r="H971" s="6">
        <f t="shared" si="15"/>
        <v>7712286.96</v>
      </c>
    </row>
    <row r="972" spans="1:8" x14ac:dyDescent="0.2">
      <c r="A972" s="2" t="s">
        <v>1037</v>
      </c>
      <c r="B972" s="2" t="s">
        <v>968</v>
      </c>
      <c r="C972" s="2" t="s">
        <v>50</v>
      </c>
      <c r="D972" s="3">
        <v>1881</v>
      </c>
      <c r="E972" s="4" t="s">
        <v>20</v>
      </c>
      <c r="F972" s="5">
        <v>1.1399999999999999</v>
      </c>
      <c r="G972" s="4" t="s">
        <v>21</v>
      </c>
      <c r="H972" s="6">
        <f t="shared" si="15"/>
        <v>2144.3399999999997</v>
      </c>
    </row>
    <row r="973" spans="1:8" x14ac:dyDescent="0.2">
      <c r="A973" s="2" t="s">
        <v>1038</v>
      </c>
      <c r="B973" s="2" t="s">
        <v>968</v>
      </c>
      <c r="C973" s="2" t="s">
        <v>33</v>
      </c>
      <c r="D973" s="3">
        <v>370</v>
      </c>
      <c r="E973" s="4" t="s">
        <v>34</v>
      </c>
      <c r="F973" s="5">
        <v>5.65</v>
      </c>
      <c r="G973" s="4" t="s">
        <v>35</v>
      </c>
      <c r="H973" s="6">
        <f t="shared" si="15"/>
        <v>2090.5</v>
      </c>
    </row>
    <row r="974" spans="1:8" x14ac:dyDescent="0.2">
      <c r="A974" s="2" t="s">
        <v>1039</v>
      </c>
      <c r="B974" s="2" t="s">
        <v>968</v>
      </c>
      <c r="C974" s="2" t="s">
        <v>33</v>
      </c>
      <c r="D974" s="3">
        <v>2013</v>
      </c>
      <c r="E974" s="4" t="s">
        <v>34</v>
      </c>
      <c r="F974" s="5">
        <v>3.61</v>
      </c>
      <c r="G974" s="4" t="s">
        <v>35</v>
      </c>
      <c r="H974" s="6">
        <f t="shared" si="15"/>
        <v>7266.9299999999994</v>
      </c>
    </row>
    <row r="975" spans="1:8" x14ac:dyDescent="0.2">
      <c r="A975" s="2" t="s">
        <v>1040</v>
      </c>
      <c r="B975" s="2" t="s">
        <v>968</v>
      </c>
      <c r="C975" s="2" t="s">
        <v>19</v>
      </c>
      <c r="D975" s="3">
        <v>3147</v>
      </c>
      <c r="E975" s="4" t="s">
        <v>20</v>
      </c>
      <c r="F975" s="5">
        <v>1.65</v>
      </c>
      <c r="G975" s="4" t="s">
        <v>21</v>
      </c>
      <c r="H975" s="6">
        <f t="shared" si="15"/>
        <v>5192.5499999999993</v>
      </c>
    </row>
    <row r="976" spans="1:8" x14ac:dyDescent="0.2">
      <c r="A976" s="2" t="s">
        <v>1041</v>
      </c>
      <c r="B976" s="2" t="s">
        <v>968</v>
      </c>
      <c r="C976" s="2" t="s">
        <v>118</v>
      </c>
      <c r="D976" s="3">
        <v>299</v>
      </c>
      <c r="E976" s="4" t="s">
        <v>24</v>
      </c>
      <c r="F976" s="5">
        <v>0.79</v>
      </c>
      <c r="G976" s="4" t="s">
        <v>25</v>
      </c>
      <c r="H976" s="6">
        <f t="shared" si="15"/>
        <v>236.21</v>
      </c>
    </row>
    <row r="977" spans="1:8" x14ac:dyDescent="0.2">
      <c r="A977" s="2" t="s">
        <v>1042</v>
      </c>
      <c r="B977" s="2" t="s">
        <v>968</v>
      </c>
      <c r="C977" s="2" t="s">
        <v>52</v>
      </c>
      <c r="D977" s="3">
        <v>1849</v>
      </c>
      <c r="E977" s="4" t="s">
        <v>53</v>
      </c>
      <c r="F977" s="5">
        <v>10.61</v>
      </c>
      <c r="G977" s="4" t="s">
        <v>54</v>
      </c>
      <c r="H977" s="6">
        <f t="shared" si="15"/>
        <v>19617.89</v>
      </c>
    </row>
    <row r="978" spans="1:8" x14ac:dyDescent="0.2">
      <c r="A978" s="2" t="s">
        <v>1043</v>
      </c>
      <c r="B978" s="2" t="s">
        <v>968</v>
      </c>
      <c r="C978" s="2" t="s">
        <v>52</v>
      </c>
      <c r="D978" s="3">
        <v>2630</v>
      </c>
      <c r="E978" s="4" t="s">
        <v>53</v>
      </c>
      <c r="F978" s="5">
        <v>10.36</v>
      </c>
      <c r="G978" s="4" t="s">
        <v>54</v>
      </c>
      <c r="H978" s="6">
        <f t="shared" si="15"/>
        <v>27246.799999999999</v>
      </c>
    </row>
    <row r="979" spans="1:8" x14ac:dyDescent="0.2">
      <c r="A979" s="2" t="s">
        <v>1044</v>
      </c>
      <c r="B979" s="2" t="s">
        <v>968</v>
      </c>
      <c r="C979" s="2" t="s">
        <v>27</v>
      </c>
      <c r="D979" s="3">
        <v>4692</v>
      </c>
      <c r="E979" s="4" t="s">
        <v>20</v>
      </c>
      <c r="F979" s="5">
        <v>1.65</v>
      </c>
      <c r="G979" s="4" t="s">
        <v>21</v>
      </c>
      <c r="H979" s="6">
        <f t="shared" si="15"/>
        <v>7741.7999999999993</v>
      </c>
    </row>
    <row r="980" spans="1:8" x14ac:dyDescent="0.2">
      <c r="A980" s="2" t="s">
        <v>1045</v>
      </c>
      <c r="B980" s="2" t="s">
        <v>968</v>
      </c>
      <c r="C980" s="2" t="s">
        <v>78</v>
      </c>
      <c r="D980" s="3">
        <v>441</v>
      </c>
      <c r="E980" s="4" t="s">
        <v>38</v>
      </c>
      <c r="F980" s="5">
        <v>1.8</v>
      </c>
      <c r="G980" s="4" t="s">
        <v>39</v>
      </c>
      <c r="H980" s="6">
        <f t="shared" si="15"/>
        <v>793.80000000000007</v>
      </c>
    </row>
    <row r="981" spans="1:8" x14ac:dyDescent="0.2">
      <c r="A981" s="2" t="s">
        <v>1046</v>
      </c>
      <c r="B981" s="2" t="s">
        <v>968</v>
      </c>
      <c r="C981" s="2" t="s">
        <v>78</v>
      </c>
      <c r="D981" s="3">
        <v>386</v>
      </c>
      <c r="E981" s="4" t="s">
        <v>38</v>
      </c>
      <c r="F981" s="5">
        <v>3.12</v>
      </c>
      <c r="G981" s="4" t="s">
        <v>39</v>
      </c>
      <c r="H981" s="6">
        <f t="shared" si="15"/>
        <v>1204.32</v>
      </c>
    </row>
    <row r="982" spans="1:8" x14ac:dyDescent="0.2">
      <c r="A982" s="2" t="s">
        <v>1047</v>
      </c>
      <c r="B982" s="2" t="s">
        <v>968</v>
      </c>
      <c r="C982" s="2" t="s">
        <v>27</v>
      </c>
      <c r="D982" s="3">
        <v>3820</v>
      </c>
      <c r="E982" s="4" t="s">
        <v>20</v>
      </c>
      <c r="F982" s="5">
        <v>2.2400000000000002</v>
      </c>
      <c r="G982" s="4" t="s">
        <v>21</v>
      </c>
      <c r="H982" s="6">
        <f t="shared" si="15"/>
        <v>8556.8000000000011</v>
      </c>
    </row>
    <row r="983" spans="1:8" x14ac:dyDescent="0.2">
      <c r="A983" s="2" t="s">
        <v>1048</v>
      </c>
      <c r="B983" s="2" t="s">
        <v>968</v>
      </c>
      <c r="C983" s="2" t="s">
        <v>71</v>
      </c>
      <c r="D983" s="3">
        <v>2691</v>
      </c>
      <c r="E983" s="4" t="s">
        <v>72</v>
      </c>
      <c r="F983" s="5">
        <v>2451.83</v>
      </c>
      <c r="G983" s="4" t="s">
        <v>73</v>
      </c>
      <c r="H983" s="6">
        <f t="shared" si="15"/>
        <v>6597874.5300000003</v>
      </c>
    </row>
    <row r="984" spans="1:8" x14ac:dyDescent="0.2">
      <c r="A984" s="2" t="s">
        <v>1049</v>
      </c>
      <c r="B984" s="2" t="s">
        <v>968</v>
      </c>
      <c r="C984" s="2" t="s">
        <v>23</v>
      </c>
      <c r="D984" s="3">
        <v>75</v>
      </c>
      <c r="E984" s="4" t="s">
        <v>24</v>
      </c>
      <c r="F984" s="5">
        <v>14.21</v>
      </c>
      <c r="G984" s="4" t="s">
        <v>25</v>
      </c>
      <c r="H984" s="6">
        <f t="shared" si="15"/>
        <v>1065.75</v>
      </c>
    </row>
    <row r="985" spans="1:8" x14ac:dyDescent="0.2">
      <c r="A985" s="2" t="s">
        <v>1050</v>
      </c>
      <c r="B985" s="2" t="s">
        <v>968</v>
      </c>
      <c r="C985" s="2" t="s">
        <v>71</v>
      </c>
      <c r="D985" s="3">
        <v>4628</v>
      </c>
      <c r="E985" s="4" t="s">
        <v>72</v>
      </c>
      <c r="F985" s="5">
        <v>2870.7</v>
      </c>
      <c r="G985" s="4" t="s">
        <v>73</v>
      </c>
      <c r="H985" s="6">
        <f t="shared" si="15"/>
        <v>13285599.6</v>
      </c>
    </row>
    <row r="986" spans="1:8" x14ac:dyDescent="0.2">
      <c r="A986" s="2" t="s">
        <v>1051</v>
      </c>
      <c r="B986" s="2" t="s">
        <v>968</v>
      </c>
      <c r="C986" s="2" t="s">
        <v>147</v>
      </c>
      <c r="D986" s="3">
        <v>1997</v>
      </c>
      <c r="E986" s="4" t="s">
        <v>53</v>
      </c>
      <c r="F986" s="5">
        <v>11.71</v>
      </c>
      <c r="G986" s="4" t="s">
        <v>54</v>
      </c>
      <c r="H986" s="6">
        <f t="shared" si="15"/>
        <v>23384.870000000003</v>
      </c>
    </row>
    <row r="987" spans="1:8" x14ac:dyDescent="0.2">
      <c r="A987" s="2" t="s">
        <v>1052</v>
      </c>
      <c r="B987" s="2" t="s">
        <v>968</v>
      </c>
      <c r="C987" s="2" t="s">
        <v>46</v>
      </c>
      <c r="D987" s="3">
        <v>4051</v>
      </c>
      <c r="E987" s="4" t="s">
        <v>20</v>
      </c>
      <c r="F987" s="5">
        <v>4</v>
      </c>
      <c r="G987" s="4" t="s">
        <v>21</v>
      </c>
      <c r="H987" s="6">
        <f t="shared" si="15"/>
        <v>16204</v>
      </c>
    </row>
    <row r="988" spans="1:8" x14ac:dyDescent="0.2">
      <c r="A988" s="2" t="s">
        <v>1053</v>
      </c>
      <c r="B988" s="2" t="s">
        <v>968</v>
      </c>
      <c r="C988" s="2" t="s">
        <v>44</v>
      </c>
      <c r="D988" s="3">
        <v>4487</v>
      </c>
      <c r="E988" s="4" t="s">
        <v>24</v>
      </c>
      <c r="F988" s="5">
        <v>1.43</v>
      </c>
      <c r="G988" s="4" t="s">
        <v>25</v>
      </c>
      <c r="H988" s="6">
        <f t="shared" si="15"/>
        <v>6416.41</v>
      </c>
    </row>
    <row r="989" spans="1:8" x14ac:dyDescent="0.2">
      <c r="A989" s="2" t="s">
        <v>1054</v>
      </c>
      <c r="B989" s="2" t="s">
        <v>968</v>
      </c>
      <c r="C989" s="2" t="s">
        <v>42</v>
      </c>
      <c r="D989" s="3">
        <v>1243</v>
      </c>
      <c r="E989" s="4" t="s">
        <v>24</v>
      </c>
      <c r="F989" s="5">
        <v>3.52</v>
      </c>
      <c r="G989" s="4" t="s">
        <v>25</v>
      </c>
      <c r="H989" s="6">
        <f t="shared" si="15"/>
        <v>4375.3599999999997</v>
      </c>
    </row>
    <row r="990" spans="1:8" x14ac:dyDescent="0.2">
      <c r="A990" s="2" t="s">
        <v>1055</v>
      </c>
      <c r="B990" s="2" t="s">
        <v>968</v>
      </c>
      <c r="C990" s="2" t="s">
        <v>52</v>
      </c>
      <c r="D990" s="3">
        <v>205</v>
      </c>
      <c r="E990" s="4" t="s">
        <v>53</v>
      </c>
      <c r="F990" s="5">
        <v>10.16</v>
      </c>
      <c r="G990" s="4" t="s">
        <v>54</v>
      </c>
      <c r="H990" s="6">
        <f t="shared" si="15"/>
        <v>2082.8000000000002</v>
      </c>
    </row>
    <row r="991" spans="1:8" x14ac:dyDescent="0.2">
      <c r="A991" s="2" t="s">
        <v>1056</v>
      </c>
      <c r="B991" s="2" t="s">
        <v>968</v>
      </c>
      <c r="C991" s="2" t="s">
        <v>19</v>
      </c>
      <c r="D991" s="3">
        <v>88</v>
      </c>
      <c r="E991" s="4" t="s">
        <v>20</v>
      </c>
      <c r="F991" s="5">
        <v>1.67</v>
      </c>
      <c r="G991" s="4" t="s">
        <v>21</v>
      </c>
      <c r="H991" s="6">
        <f t="shared" si="15"/>
        <v>146.95999999999998</v>
      </c>
    </row>
    <row r="992" spans="1:8" x14ac:dyDescent="0.2">
      <c r="A992" s="2" t="s">
        <v>1057</v>
      </c>
      <c r="B992" s="2" t="s">
        <v>968</v>
      </c>
      <c r="C992" s="2" t="s">
        <v>33</v>
      </c>
      <c r="D992" s="3">
        <v>3092</v>
      </c>
      <c r="E992" s="4" t="s">
        <v>34</v>
      </c>
      <c r="F992" s="5">
        <v>5.62</v>
      </c>
      <c r="G992" s="4" t="s">
        <v>35</v>
      </c>
      <c r="H992" s="6">
        <f t="shared" si="15"/>
        <v>17377.04</v>
      </c>
    </row>
    <row r="993" spans="1:8" x14ac:dyDescent="0.2">
      <c r="A993" s="2" t="s">
        <v>1058</v>
      </c>
      <c r="B993" s="2" t="s">
        <v>968</v>
      </c>
      <c r="C993" s="2" t="s">
        <v>71</v>
      </c>
      <c r="D993" s="3">
        <v>861</v>
      </c>
      <c r="E993" s="4" t="s">
        <v>72</v>
      </c>
      <c r="F993" s="5">
        <v>2523.12</v>
      </c>
      <c r="G993" s="4" t="s">
        <v>73</v>
      </c>
      <c r="H993" s="6">
        <f t="shared" si="15"/>
        <v>2172406.3199999998</v>
      </c>
    </row>
    <row r="994" spans="1:8" x14ac:dyDescent="0.2">
      <c r="A994" s="2" t="s">
        <v>1059</v>
      </c>
      <c r="B994" s="2" t="s">
        <v>968</v>
      </c>
      <c r="C994" s="2" t="s">
        <v>42</v>
      </c>
      <c r="D994" s="3">
        <v>3449</v>
      </c>
      <c r="E994" s="4" t="s">
        <v>24</v>
      </c>
      <c r="F994" s="5">
        <v>4.9800000000000004</v>
      </c>
      <c r="G994" s="4" t="s">
        <v>25</v>
      </c>
      <c r="H994" s="6">
        <f t="shared" si="15"/>
        <v>17176.02</v>
      </c>
    </row>
    <row r="995" spans="1:8" x14ac:dyDescent="0.2">
      <c r="A995" s="2" t="s">
        <v>1060</v>
      </c>
      <c r="B995" s="2" t="s">
        <v>968</v>
      </c>
      <c r="C995" s="2" t="s">
        <v>37</v>
      </c>
      <c r="D995" s="3">
        <v>1176</v>
      </c>
      <c r="E995" s="4" t="s">
        <v>38</v>
      </c>
      <c r="F995" s="5">
        <v>4.13</v>
      </c>
      <c r="G995" s="4" t="s">
        <v>39</v>
      </c>
      <c r="H995" s="6">
        <f t="shared" si="15"/>
        <v>4856.88</v>
      </c>
    </row>
    <row r="996" spans="1:8" x14ac:dyDescent="0.2">
      <c r="A996" s="2" t="s">
        <v>1061</v>
      </c>
      <c r="B996" s="2" t="s">
        <v>968</v>
      </c>
      <c r="C996" s="2" t="s">
        <v>27</v>
      </c>
      <c r="D996" s="3">
        <v>369</v>
      </c>
      <c r="E996" s="4" t="s">
        <v>20</v>
      </c>
      <c r="F996" s="5">
        <v>2.31</v>
      </c>
      <c r="G996" s="4" t="s">
        <v>21</v>
      </c>
      <c r="H996" s="6">
        <f t="shared" si="15"/>
        <v>852.39</v>
      </c>
    </row>
    <row r="997" spans="1:8" x14ac:dyDescent="0.2">
      <c r="A997" s="2" t="s">
        <v>1062</v>
      </c>
      <c r="B997" s="2" t="s">
        <v>968</v>
      </c>
      <c r="C997" s="2" t="s">
        <v>78</v>
      </c>
      <c r="D997" s="3">
        <v>3393</v>
      </c>
      <c r="E997" s="4" t="s">
        <v>38</v>
      </c>
      <c r="F997" s="5">
        <v>2.69</v>
      </c>
      <c r="G997" s="4" t="s">
        <v>39</v>
      </c>
      <c r="H997" s="6">
        <f t="shared" si="15"/>
        <v>9127.17</v>
      </c>
    </row>
    <row r="998" spans="1:8" x14ac:dyDescent="0.2">
      <c r="A998" s="2" t="s">
        <v>1063</v>
      </c>
      <c r="B998" s="2" t="s">
        <v>968</v>
      </c>
      <c r="C998" s="2" t="s">
        <v>19</v>
      </c>
      <c r="D998" s="3">
        <v>3765</v>
      </c>
      <c r="E998" s="4" t="s">
        <v>20</v>
      </c>
      <c r="F998" s="5">
        <v>1.68</v>
      </c>
      <c r="G998" s="4" t="s">
        <v>21</v>
      </c>
      <c r="H998" s="6">
        <f t="shared" si="15"/>
        <v>6325.2</v>
      </c>
    </row>
    <row r="999" spans="1:8" x14ac:dyDescent="0.2">
      <c r="A999" s="2" t="s">
        <v>1064</v>
      </c>
      <c r="B999" s="2" t="s">
        <v>968</v>
      </c>
      <c r="C999" s="2" t="s">
        <v>27</v>
      </c>
      <c r="D999" s="3">
        <v>4767</v>
      </c>
      <c r="E999" s="4" t="s">
        <v>20</v>
      </c>
      <c r="F999" s="5">
        <v>1.31</v>
      </c>
      <c r="G999" s="4" t="s">
        <v>21</v>
      </c>
      <c r="H999" s="6">
        <f t="shared" si="15"/>
        <v>6244.77</v>
      </c>
    </row>
    <row r="1000" spans="1:8" x14ac:dyDescent="0.2">
      <c r="A1000" s="2" t="s">
        <v>1065</v>
      </c>
      <c r="B1000" s="2" t="s">
        <v>1066</v>
      </c>
      <c r="C1000" s="2" t="s">
        <v>89</v>
      </c>
      <c r="D1000" s="3">
        <v>3240</v>
      </c>
      <c r="E1000" s="4" t="s">
        <v>30</v>
      </c>
      <c r="F1000" s="5">
        <v>1.89</v>
      </c>
      <c r="G1000" s="4" t="s">
        <v>31</v>
      </c>
      <c r="H1000" s="6">
        <f t="shared" si="15"/>
        <v>6123.5999999999995</v>
      </c>
    </row>
    <row r="1001" spans="1:8" x14ac:dyDescent="0.2">
      <c r="A1001" s="2" t="s">
        <v>1067</v>
      </c>
      <c r="B1001" s="2" t="s">
        <v>1066</v>
      </c>
      <c r="C1001" s="2" t="s">
        <v>46</v>
      </c>
      <c r="D1001" s="3">
        <v>520</v>
      </c>
      <c r="E1001" s="4" t="s">
        <v>20</v>
      </c>
      <c r="F1001" s="5">
        <v>2.87</v>
      </c>
      <c r="G1001" s="4" t="s">
        <v>21</v>
      </c>
      <c r="H1001" s="6">
        <f t="shared" si="15"/>
        <v>1492.4</v>
      </c>
    </row>
    <row r="1002" spans="1:8" x14ac:dyDescent="0.2">
      <c r="A1002" s="2" t="s">
        <v>1068</v>
      </c>
      <c r="B1002" s="2" t="s">
        <v>1066</v>
      </c>
      <c r="C1002" s="2" t="s">
        <v>89</v>
      </c>
      <c r="D1002" s="3">
        <v>1949</v>
      </c>
      <c r="E1002" s="4" t="s">
        <v>30</v>
      </c>
      <c r="F1002" s="5">
        <v>2.15</v>
      </c>
      <c r="G1002" s="4" t="s">
        <v>31</v>
      </c>
      <c r="H1002" s="6">
        <f t="shared" si="15"/>
        <v>4190.3499999999995</v>
      </c>
    </row>
    <row r="1003" spans="1:8" x14ac:dyDescent="0.2">
      <c r="A1003" s="2" t="s">
        <v>1069</v>
      </c>
      <c r="B1003" s="2" t="s">
        <v>1066</v>
      </c>
      <c r="C1003" s="2" t="s">
        <v>57</v>
      </c>
      <c r="D1003" s="3">
        <v>3229</v>
      </c>
      <c r="E1003" s="4" t="s">
        <v>20</v>
      </c>
      <c r="F1003" s="5">
        <v>0.88</v>
      </c>
      <c r="G1003" s="4" t="s">
        <v>21</v>
      </c>
      <c r="H1003" s="6">
        <f t="shared" si="15"/>
        <v>2841.52</v>
      </c>
    </row>
    <row r="1004" spans="1:8" x14ac:dyDescent="0.2">
      <c r="A1004" s="2" t="s">
        <v>1070</v>
      </c>
      <c r="B1004" s="2" t="s">
        <v>1066</v>
      </c>
      <c r="C1004" s="2" t="s">
        <v>57</v>
      </c>
      <c r="D1004" s="3">
        <v>2615</v>
      </c>
      <c r="E1004" s="4" t="s">
        <v>20</v>
      </c>
      <c r="F1004" s="5">
        <v>0.78</v>
      </c>
      <c r="G1004" s="4" t="s">
        <v>21</v>
      </c>
      <c r="H1004" s="6">
        <f t="shared" si="15"/>
        <v>2039.7</v>
      </c>
    </row>
    <row r="1005" spans="1:8" x14ac:dyDescent="0.2">
      <c r="A1005" s="2" t="s">
        <v>1071</v>
      </c>
      <c r="B1005" s="2" t="s">
        <v>1066</v>
      </c>
      <c r="C1005" s="2" t="s">
        <v>42</v>
      </c>
      <c r="D1005" s="3">
        <v>621</v>
      </c>
      <c r="E1005" s="4" t="s">
        <v>24</v>
      </c>
      <c r="F1005" s="5">
        <v>6.33</v>
      </c>
      <c r="G1005" s="4" t="s">
        <v>25</v>
      </c>
      <c r="H1005" s="6">
        <f t="shared" si="15"/>
        <v>3930.93</v>
      </c>
    </row>
    <row r="1006" spans="1:8" x14ac:dyDescent="0.2">
      <c r="A1006" s="2" t="s">
        <v>1072</v>
      </c>
      <c r="B1006" s="2" t="s">
        <v>1066</v>
      </c>
      <c r="C1006" s="2" t="s">
        <v>89</v>
      </c>
      <c r="D1006" s="3">
        <v>4799</v>
      </c>
      <c r="E1006" s="4" t="s">
        <v>30</v>
      </c>
      <c r="F1006" s="5">
        <v>1.93</v>
      </c>
      <c r="G1006" s="4" t="s">
        <v>31</v>
      </c>
      <c r="H1006" s="6">
        <f t="shared" si="15"/>
        <v>9262.07</v>
      </c>
    </row>
    <row r="1007" spans="1:8" x14ac:dyDescent="0.2">
      <c r="A1007" s="2" t="s">
        <v>1073</v>
      </c>
      <c r="B1007" s="2" t="s">
        <v>1066</v>
      </c>
      <c r="C1007" s="2" t="s">
        <v>50</v>
      </c>
      <c r="D1007" s="3">
        <v>1356</v>
      </c>
      <c r="E1007" s="4" t="s">
        <v>20</v>
      </c>
      <c r="F1007" s="5">
        <v>0.97</v>
      </c>
      <c r="G1007" s="4" t="s">
        <v>21</v>
      </c>
      <c r="H1007" s="6">
        <f t="shared" si="15"/>
        <v>1315.32</v>
      </c>
    </row>
    <row r="1008" spans="1:8" x14ac:dyDescent="0.2">
      <c r="A1008" s="2" t="s">
        <v>1074</v>
      </c>
      <c r="B1008" s="2" t="s">
        <v>1066</v>
      </c>
      <c r="C1008" s="2" t="s">
        <v>57</v>
      </c>
      <c r="D1008" s="3">
        <v>3340</v>
      </c>
      <c r="E1008" s="4" t="s">
        <v>20</v>
      </c>
      <c r="F1008" s="5">
        <v>0.65</v>
      </c>
      <c r="G1008" s="4" t="s">
        <v>21</v>
      </c>
      <c r="H1008" s="6">
        <f t="shared" si="15"/>
        <v>2171</v>
      </c>
    </row>
    <row r="1009" spans="1:8" x14ac:dyDescent="0.2">
      <c r="A1009" s="2" t="s">
        <v>1075</v>
      </c>
      <c r="B1009" s="2" t="s">
        <v>1066</v>
      </c>
      <c r="C1009" s="2" t="s">
        <v>19</v>
      </c>
      <c r="D1009" s="3">
        <v>1710</v>
      </c>
      <c r="E1009" s="4" t="s">
        <v>20</v>
      </c>
      <c r="F1009" s="5">
        <v>1.37</v>
      </c>
      <c r="G1009" s="4" t="s">
        <v>21</v>
      </c>
      <c r="H1009" s="6">
        <f t="shared" si="15"/>
        <v>2342.7000000000003</v>
      </c>
    </row>
    <row r="1010" spans="1:8" x14ac:dyDescent="0.2">
      <c r="A1010" s="2" t="s">
        <v>1076</v>
      </c>
      <c r="B1010" s="2" t="s">
        <v>1066</v>
      </c>
      <c r="C1010" s="2" t="s">
        <v>23</v>
      </c>
      <c r="D1010" s="3">
        <v>2180</v>
      </c>
      <c r="E1010" s="4" t="s">
        <v>24</v>
      </c>
      <c r="F1010" s="5">
        <v>17.11</v>
      </c>
      <c r="G1010" s="4" t="s">
        <v>25</v>
      </c>
      <c r="H1010" s="6">
        <f t="shared" si="15"/>
        <v>37299.799999999996</v>
      </c>
    </row>
    <row r="1011" spans="1:8" x14ac:dyDescent="0.2">
      <c r="A1011" s="2" t="s">
        <v>1077</v>
      </c>
      <c r="B1011" s="2" t="s">
        <v>1066</v>
      </c>
      <c r="C1011" s="2" t="s">
        <v>27</v>
      </c>
      <c r="D1011" s="3">
        <v>1301</v>
      </c>
      <c r="E1011" s="4" t="s">
        <v>20</v>
      </c>
      <c r="F1011" s="5">
        <v>2.17</v>
      </c>
      <c r="G1011" s="4" t="s">
        <v>21</v>
      </c>
      <c r="H1011" s="6">
        <f t="shared" si="15"/>
        <v>2823.17</v>
      </c>
    </row>
    <row r="1012" spans="1:8" x14ac:dyDescent="0.2">
      <c r="A1012" s="2" t="s">
        <v>1078</v>
      </c>
      <c r="B1012" s="2" t="s">
        <v>1066</v>
      </c>
      <c r="C1012" s="2" t="s">
        <v>71</v>
      </c>
      <c r="D1012" s="3">
        <v>4952</v>
      </c>
      <c r="E1012" s="4" t="s">
        <v>72</v>
      </c>
      <c r="F1012" s="5">
        <v>2424.1999999999998</v>
      </c>
      <c r="G1012" s="4" t="s">
        <v>73</v>
      </c>
      <c r="H1012" s="6">
        <f t="shared" si="15"/>
        <v>12004638.399999999</v>
      </c>
    </row>
    <row r="1013" spans="1:8" x14ac:dyDescent="0.2">
      <c r="A1013" s="2" t="s">
        <v>1079</v>
      </c>
      <c r="B1013" s="2" t="s">
        <v>1066</v>
      </c>
      <c r="C1013" s="2" t="s">
        <v>57</v>
      </c>
      <c r="D1013" s="3">
        <v>1225</v>
      </c>
      <c r="E1013" s="4" t="s">
        <v>20</v>
      </c>
      <c r="F1013" s="5">
        <v>0.64</v>
      </c>
      <c r="G1013" s="4" t="s">
        <v>21</v>
      </c>
      <c r="H1013" s="6">
        <f t="shared" si="15"/>
        <v>784</v>
      </c>
    </row>
    <row r="1014" spans="1:8" x14ac:dyDescent="0.2">
      <c r="A1014" s="2" t="s">
        <v>1080</v>
      </c>
      <c r="B1014" s="2" t="s">
        <v>1066</v>
      </c>
      <c r="C1014" s="2" t="s">
        <v>42</v>
      </c>
      <c r="D1014" s="3">
        <v>2924</v>
      </c>
      <c r="E1014" s="4" t="s">
        <v>24</v>
      </c>
      <c r="F1014" s="5">
        <v>4.6900000000000004</v>
      </c>
      <c r="G1014" s="4" t="s">
        <v>25</v>
      </c>
      <c r="H1014" s="6">
        <f t="shared" si="15"/>
        <v>13713.560000000001</v>
      </c>
    </row>
    <row r="1015" spans="1:8" x14ac:dyDescent="0.2">
      <c r="A1015" s="2" t="s">
        <v>1081</v>
      </c>
      <c r="B1015" s="2" t="s">
        <v>1066</v>
      </c>
      <c r="C1015" s="2" t="s">
        <v>37</v>
      </c>
      <c r="D1015" s="3">
        <v>2458</v>
      </c>
      <c r="E1015" s="4" t="s">
        <v>38</v>
      </c>
      <c r="F1015" s="5">
        <v>2.78</v>
      </c>
      <c r="G1015" s="4" t="s">
        <v>39</v>
      </c>
      <c r="H1015" s="6">
        <f t="shared" si="15"/>
        <v>6833.24</v>
      </c>
    </row>
    <row r="1016" spans="1:8" x14ac:dyDescent="0.2">
      <c r="A1016" s="2" t="s">
        <v>1082</v>
      </c>
      <c r="B1016" s="2" t="s">
        <v>1066</v>
      </c>
      <c r="C1016" s="2" t="s">
        <v>118</v>
      </c>
      <c r="D1016" s="3">
        <v>264</v>
      </c>
      <c r="E1016" s="4" t="s">
        <v>24</v>
      </c>
      <c r="F1016" s="5">
        <v>1.07</v>
      </c>
      <c r="G1016" s="4" t="s">
        <v>25</v>
      </c>
      <c r="H1016" s="6">
        <f t="shared" si="15"/>
        <v>282.48</v>
      </c>
    </row>
    <row r="1017" spans="1:8" x14ac:dyDescent="0.2">
      <c r="A1017" s="2" t="s">
        <v>1083</v>
      </c>
      <c r="B1017" s="2" t="s">
        <v>1066</v>
      </c>
      <c r="C1017" s="2" t="s">
        <v>23</v>
      </c>
      <c r="D1017" s="3">
        <v>4564</v>
      </c>
      <c r="E1017" s="4" t="s">
        <v>24</v>
      </c>
      <c r="F1017" s="5">
        <v>16.489999999999998</v>
      </c>
      <c r="G1017" s="4" t="s">
        <v>25</v>
      </c>
      <c r="H1017" s="6">
        <f t="shared" si="15"/>
        <v>75260.359999999986</v>
      </c>
    </row>
    <row r="1018" spans="1:8" x14ac:dyDescent="0.2">
      <c r="A1018" s="2" t="s">
        <v>1084</v>
      </c>
      <c r="B1018" s="2" t="s">
        <v>1066</v>
      </c>
      <c r="C1018" s="2" t="s">
        <v>42</v>
      </c>
      <c r="D1018" s="3">
        <v>785</v>
      </c>
      <c r="E1018" s="4" t="s">
        <v>24</v>
      </c>
      <c r="F1018" s="5">
        <v>4.8899999999999997</v>
      </c>
      <c r="G1018" s="4" t="s">
        <v>25</v>
      </c>
      <c r="H1018" s="6">
        <f t="shared" si="15"/>
        <v>3838.6499999999996</v>
      </c>
    </row>
    <row r="1019" spans="1:8" x14ac:dyDescent="0.2">
      <c r="A1019" s="2" t="s">
        <v>1085</v>
      </c>
      <c r="B1019" s="2" t="s">
        <v>1066</v>
      </c>
      <c r="C1019" s="2" t="s">
        <v>89</v>
      </c>
      <c r="D1019" s="3">
        <v>1004</v>
      </c>
      <c r="E1019" s="4" t="s">
        <v>30</v>
      </c>
      <c r="F1019" s="5">
        <v>1.81</v>
      </c>
      <c r="G1019" s="4" t="s">
        <v>31</v>
      </c>
      <c r="H1019" s="6">
        <f t="shared" si="15"/>
        <v>1817.24</v>
      </c>
    </row>
    <row r="1020" spans="1:8" x14ac:dyDescent="0.2">
      <c r="A1020" s="2" t="s">
        <v>1086</v>
      </c>
      <c r="B1020" s="2" t="s">
        <v>1066</v>
      </c>
      <c r="C1020" s="2" t="s">
        <v>42</v>
      </c>
      <c r="D1020" s="3">
        <v>1080</v>
      </c>
      <c r="E1020" s="4" t="s">
        <v>24</v>
      </c>
      <c r="F1020" s="5">
        <v>4.09</v>
      </c>
      <c r="G1020" s="4" t="s">
        <v>25</v>
      </c>
      <c r="H1020" s="6">
        <f t="shared" si="15"/>
        <v>4417.2</v>
      </c>
    </row>
    <row r="1021" spans="1:8" x14ac:dyDescent="0.2">
      <c r="A1021" s="2" t="s">
        <v>1087</v>
      </c>
      <c r="B1021" s="2" t="s">
        <v>1066</v>
      </c>
      <c r="C1021" s="2" t="s">
        <v>67</v>
      </c>
      <c r="D1021" s="3">
        <v>3059</v>
      </c>
      <c r="E1021" s="4" t="s">
        <v>24</v>
      </c>
      <c r="F1021" s="5">
        <v>0.51</v>
      </c>
      <c r="G1021" s="4" t="s">
        <v>25</v>
      </c>
      <c r="H1021" s="6">
        <f t="shared" si="15"/>
        <v>1560.09</v>
      </c>
    </row>
    <row r="1022" spans="1:8" x14ac:dyDescent="0.2">
      <c r="A1022" s="2" t="s">
        <v>1088</v>
      </c>
      <c r="B1022" s="2" t="s">
        <v>1066</v>
      </c>
      <c r="C1022" s="2" t="s">
        <v>27</v>
      </c>
      <c r="D1022" s="3">
        <v>4780</v>
      </c>
      <c r="E1022" s="4" t="s">
        <v>20</v>
      </c>
      <c r="F1022" s="5">
        <v>1.9</v>
      </c>
      <c r="G1022" s="4" t="s">
        <v>21</v>
      </c>
      <c r="H1022" s="6">
        <f t="shared" si="15"/>
        <v>9082</v>
      </c>
    </row>
    <row r="1023" spans="1:8" x14ac:dyDescent="0.2">
      <c r="A1023" s="2" t="s">
        <v>1089</v>
      </c>
      <c r="B1023" s="2" t="s">
        <v>1066</v>
      </c>
      <c r="C1023" s="2" t="s">
        <v>27</v>
      </c>
      <c r="D1023" s="3">
        <v>188</v>
      </c>
      <c r="E1023" s="4" t="s">
        <v>20</v>
      </c>
      <c r="F1023" s="5">
        <v>2.4</v>
      </c>
      <c r="G1023" s="4" t="s">
        <v>21</v>
      </c>
      <c r="H1023" s="6">
        <f t="shared" si="15"/>
        <v>451.2</v>
      </c>
    </row>
    <row r="1024" spans="1:8" x14ac:dyDescent="0.2">
      <c r="A1024" s="2" t="s">
        <v>1090</v>
      </c>
      <c r="B1024" s="2" t="s">
        <v>1066</v>
      </c>
      <c r="C1024" s="2" t="s">
        <v>44</v>
      </c>
      <c r="D1024" s="3">
        <v>3642</v>
      </c>
      <c r="E1024" s="4" t="s">
        <v>24</v>
      </c>
      <c r="F1024" s="5">
        <v>1.47</v>
      </c>
      <c r="G1024" s="4" t="s">
        <v>25</v>
      </c>
      <c r="H1024" s="6">
        <f t="shared" si="15"/>
        <v>5353.74</v>
      </c>
    </row>
    <row r="1025" spans="1:8" x14ac:dyDescent="0.2">
      <c r="A1025" s="2" t="s">
        <v>1091</v>
      </c>
      <c r="B1025" s="2" t="s">
        <v>1066</v>
      </c>
      <c r="C1025" s="2" t="s">
        <v>27</v>
      </c>
      <c r="D1025" s="3">
        <v>2726</v>
      </c>
      <c r="E1025" s="4" t="s">
        <v>20</v>
      </c>
      <c r="F1025" s="5">
        <v>1.35</v>
      </c>
      <c r="G1025" s="4" t="s">
        <v>21</v>
      </c>
      <c r="H1025" s="6">
        <f t="shared" si="15"/>
        <v>3680.1000000000004</v>
      </c>
    </row>
    <row r="1026" spans="1:8" x14ac:dyDescent="0.2">
      <c r="A1026" s="2" t="s">
        <v>1092</v>
      </c>
      <c r="B1026" s="2" t="s">
        <v>1066</v>
      </c>
      <c r="C1026" s="2" t="s">
        <v>23</v>
      </c>
      <c r="D1026" s="3">
        <v>424</v>
      </c>
      <c r="E1026" s="4" t="s">
        <v>24</v>
      </c>
      <c r="F1026" s="5">
        <v>13.01</v>
      </c>
      <c r="G1026" s="4" t="s">
        <v>25</v>
      </c>
      <c r="H1026" s="6">
        <f t="shared" ref="H1026:H1089" si="16">D1026*F1026</f>
        <v>5516.24</v>
      </c>
    </row>
    <row r="1027" spans="1:8" x14ac:dyDescent="0.2">
      <c r="A1027" s="2" t="s">
        <v>1093</v>
      </c>
      <c r="B1027" s="2" t="s">
        <v>1066</v>
      </c>
      <c r="C1027" s="2" t="s">
        <v>46</v>
      </c>
      <c r="D1027" s="3">
        <v>3558</v>
      </c>
      <c r="E1027" s="4" t="s">
        <v>20</v>
      </c>
      <c r="F1027" s="5">
        <v>3.64</v>
      </c>
      <c r="G1027" s="4" t="s">
        <v>21</v>
      </c>
      <c r="H1027" s="6">
        <f t="shared" si="16"/>
        <v>12951.12</v>
      </c>
    </row>
    <row r="1028" spans="1:8" x14ac:dyDescent="0.2">
      <c r="A1028" s="2" t="s">
        <v>1094</v>
      </c>
      <c r="B1028" s="2" t="s">
        <v>1066</v>
      </c>
      <c r="C1028" s="2" t="s">
        <v>67</v>
      </c>
      <c r="D1028" s="3">
        <v>4074</v>
      </c>
      <c r="E1028" s="4" t="s">
        <v>24</v>
      </c>
      <c r="F1028" s="5">
        <v>0.31</v>
      </c>
      <c r="G1028" s="4" t="s">
        <v>25</v>
      </c>
      <c r="H1028" s="6">
        <f t="shared" si="16"/>
        <v>1262.94</v>
      </c>
    </row>
    <row r="1029" spans="1:8" x14ac:dyDescent="0.2">
      <c r="A1029" s="2" t="s">
        <v>1095</v>
      </c>
      <c r="B1029" s="2" t="s">
        <v>1066</v>
      </c>
      <c r="C1029" s="2" t="s">
        <v>52</v>
      </c>
      <c r="D1029" s="3">
        <v>1425</v>
      </c>
      <c r="E1029" s="4" t="s">
        <v>53</v>
      </c>
      <c r="F1029" s="5">
        <v>10.77</v>
      </c>
      <c r="G1029" s="4" t="s">
        <v>54</v>
      </c>
      <c r="H1029" s="6">
        <f t="shared" si="16"/>
        <v>15347.25</v>
      </c>
    </row>
    <row r="1030" spans="1:8" x14ac:dyDescent="0.2">
      <c r="A1030" s="2" t="s">
        <v>1096</v>
      </c>
      <c r="B1030" s="2" t="s">
        <v>1066</v>
      </c>
      <c r="C1030" s="2" t="s">
        <v>118</v>
      </c>
      <c r="D1030" s="3">
        <v>2262</v>
      </c>
      <c r="E1030" s="4" t="s">
        <v>24</v>
      </c>
      <c r="F1030" s="5">
        <v>0.6</v>
      </c>
      <c r="G1030" s="4" t="s">
        <v>25</v>
      </c>
      <c r="H1030" s="6">
        <f t="shared" si="16"/>
        <v>1357.2</v>
      </c>
    </row>
    <row r="1031" spans="1:8" x14ac:dyDescent="0.2">
      <c r="A1031" s="2" t="s">
        <v>1097</v>
      </c>
      <c r="B1031" s="2" t="s">
        <v>1066</v>
      </c>
      <c r="C1031" s="2" t="s">
        <v>89</v>
      </c>
      <c r="D1031" s="3">
        <v>293</v>
      </c>
      <c r="E1031" s="4" t="s">
        <v>30</v>
      </c>
      <c r="F1031" s="5">
        <v>2.54</v>
      </c>
      <c r="G1031" s="4" t="s">
        <v>31</v>
      </c>
      <c r="H1031" s="6">
        <f t="shared" si="16"/>
        <v>744.22</v>
      </c>
    </row>
    <row r="1032" spans="1:8" x14ac:dyDescent="0.2">
      <c r="A1032" s="2" t="s">
        <v>1098</v>
      </c>
      <c r="B1032" s="2" t="s">
        <v>1066</v>
      </c>
      <c r="C1032" s="2" t="s">
        <v>147</v>
      </c>
      <c r="D1032" s="3">
        <v>2023</v>
      </c>
      <c r="E1032" s="4" t="s">
        <v>53</v>
      </c>
      <c r="F1032" s="5">
        <v>13.18</v>
      </c>
      <c r="G1032" s="4" t="s">
        <v>54</v>
      </c>
      <c r="H1032" s="6">
        <f t="shared" si="16"/>
        <v>26663.14</v>
      </c>
    </row>
    <row r="1033" spans="1:8" x14ac:dyDescent="0.2">
      <c r="A1033" s="2" t="s">
        <v>1099</v>
      </c>
      <c r="B1033" s="2" t="s">
        <v>1066</v>
      </c>
      <c r="C1033" s="2" t="s">
        <v>48</v>
      </c>
      <c r="D1033" s="3">
        <v>3385</v>
      </c>
      <c r="E1033" s="4" t="s">
        <v>24</v>
      </c>
      <c r="F1033" s="5">
        <v>0.18</v>
      </c>
      <c r="G1033" s="4" t="s">
        <v>25</v>
      </c>
      <c r="H1033" s="6">
        <f t="shared" si="16"/>
        <v>609.29999999999995</v>
      </c>
    </row>
    <row r="1034" spans="1:8" x14ac:dyDescent="0.2">
      <c r="A1034" s="2" t="s">
        <v>1100</v>
      </c>
      <c r="B1034" s="2" t="s">
        <v>1066</v>
      </c>
      <c r="C1034" s="2" t="s">
        <v>48</v>
      </c>
      <c r="D1034" s="3">
        <v>509</v>
      </c>
      <c r="E1034" s="4" t="s">
        <v>24</v>
      </c>
      <c r="F1034" s="5">
        <v>0.06</v>
      </c>
      <c r="G1034" s="4" t="s">
        <v>25</v>
      </c>
      <c r="H1034" s="6">
        <f t="shared" si="16"/>
        <v>30.54</v>
      </c>
    </row>
    <row r="1035" spans="1:8" x14ac:dyDescent="0.2">
      <c r="A1035" s="2" t="s">
        <v>1101</v>
      </c>
      <c r="B1035" s="2" t="s">
        <v>1066</v>
      </c>
      <c r="C1035" s="2" t="s">
        <v>67</v>
      </c>
      <c r="D1035" s="3">
        <v>1134</v>
      </c>
      <c r="E1035" s="4" t="s">
        <v>24</v>
      </c>
      <c r="F1035" s="5">
        <v>0.43</v>
      </c>
      <c r="G1035" s="4" t="s">
        <v>25</v>
      </c>
      <c r="H1035" s="6">
        <f t="shared" si="16"/>
        <v>487.62</v>
      </c>
    </row>
    <row r="1036" spans="1:8" x14ac:dyDescent="0.2">
      <c r="A1036" s="2" t="s">
        <v>1102</v>
      </c>
      <c r="B1036" s="2" t="s">
        <v>1066</v>
      </c>
      <c r="C1036" s="2" t="s">
        <v>78</v>
      </c>
      <c r="D1036" s="3">
        <v>2051</v>
      </c>
      <c r="E1036" s="4" t="s">
        <v>38</v>
      </c>
      <c r="F1036" s="5">
        <v>2.57</v>
      </c>
      <c r="G1036" s="4" t="s">
        <v>39</v>
      </c>
      <c r="H1036" s="6">
        <f t="shared" si="16"/>
        <v>5271.07</v>
      </c>
    </row>
    <row r="1037" spans="1:8" x14ac:dyDescent="0.2">
      <c r="A1037" s="2" t="s">
        <v>1103</v>
      </c>
      <c r="B1037" s="2" t="s">
        <v>1066</v>
      </c>
      <c r="C1037" s="2" t="s">
        <v>29</v>
      </c>
      <c r="D1037" s="3">
        <v>169</v>
      </c>
      <c r="E1037" s="4" t="s">
        <v>30</v>
      </c>
      <c r="F1037" s="5">
        <v>2.19</v>
      </c>
      <c r="G1037" s="4" t="s">
        <v>31</v>
      </c>
      <c r="H1037" s="6">
        <f t="shared" si="16"/>
        <v>370.11</v>
      </c>
    </row>
    <row r="1038" spans="1:8" x14ac:dyDescent="0.2">
      <c r="A1038" s="2" t="s">
        <v>1104</v>
      </c>
      <c r="B1038" s="2" t="s">
        <v>1066</v>
      </c>
      <c r="C1038" s="2" t="s">
        <v>19</v>
      </c>
      <c r="D1038" s="3">
        <v>3939</v>
      </c>
      <c r="E1038" s="4" t="s">
        <v>20</v>
      </c>
      <c r="F1038" s="5">
        <v>1.43</v>
      </c>
      <c r="G1038" s="4" t="s">
        <v>21</v>
      </c>
      <c r="H1038" s="6">
        <f t="shared" si="16"/>
        <v>5632.7699999999995</v>
      </c>
    </row>
    <row r="1039" spans="1:8" x14ac:dyDescent="0.2">
      <c r="A1039" s="2" t="s">
        <v>1105</v>
      </c>
      <c r="B1039" s="2" t="s">
        <v>1066</v>
      </c>
      <c r="C1039" s="2" t="s">
        <v>48</v>
      </c>
      <c r="D1039" s="3">
        <v>2828</v>
      </c>
      <c r="E1039" s="4" t="s">
        <v>24</v>
      </c>
      <c r="F1039" s="5">
        <v>0.19</v>
      </c>
      <c r="G1039" s="4" t="s">
        <v>25</v>
      </c>
      <c r="H1039" s="6">
        <f t="shared" si="16"/>
        <v>537.32000000000005</v>
      </c>
    </row>
    <row r="1040" spans="1:8" x14ac:dyDescent="0.2">
      <c r="A1040" s="2" t="s">
        <v>1106</v>
      </c>
      <c r="B1040" s="2" t="s">
        <v>1066</v>
      </c>
      <c r="C1040" s="2" t="s">
        <v>78</v>
      </c>
      <c r="D1040" s="3">
        <v>2644</v>
      </c>
      <c r="E1040" s="4" t="s">
        <v>38</v>
      </c>
      <c r="F1040" s="5">
        <v>2.16</v>
      </c>
      <c r="G1040" s="4" t="s">
        <v>39</v>
      </c>
      <c r="H1040" s="6">
        <f t="shared" si="16"/>
        <v>5711.04</v>
      </c>
    </row>
    <row r="1041" spans="1:8" x14ac:dyDescent="0.2">
      <c r="A1041" s="2" t="s">
        <v>1107</v>
      </c>
      <c r="B1041" s="2" t="s">
        <v>1066</v>
      </c>
      <c r="C1041" s="2" t="s">
        <v>118</v>
      </c>
      <c r="D1041" s="3">
        <v>223</v>
      </c>
      <c r="E1041" s="4" t="s">
        <v>24</v>
      </c>
      <c r="F1041" s="5">
        <v>0.62</v>
      </c>
      <c r="G1041" s="4" t="s">
        <v>25</v>
      </c>
      <c r="H1041" s="6">
        <f t="shared" si="16"/>
        <v>138.26</v>
      </c>
    </row>
    <row r="1042" spans="1:8" x14ac:dyDescent="0.2">
      <c r="A1042" s="2" t="s">
        <v>1108</v>
      </c>
      <c r="B1042" s="2" t="s">
        <v>1066</v>
      </c>
      <c r="C1042" s="2" t="s">
        <v>42</v>
      </c>
      <c r="D1042" s="3">
        <v>250</v>
      </c>
      <c r="E1042" s="4" t="s">
        <v>24</v>
      </c>
      <c r="F1042" s="5">
        <v>6.19</v>
      </c>
      <c r="G1042" s="4" t="s">
        <v>25</v>
      </c>
      <c r="H1042" s="6">
        <f t="shared" si="16"/>
        <v>1547.5</v>
      </c>
    </row>
    <row r="1043" spans="1:8" x14ac:dyDescent="0.2">
      <c r="A1043" s="2" t="s">
        <v>1109</v>
      </c>
      <c r="B1043" s="2" t="s">
        <v>1066</v>
      </c>
      <c r="C1043" s="2" t="s">
        <v>86</v>
      </c>
      <c r="D1043" s="3">
        <v>489</v>
      </c>
      <c r="E1043" s="4" t="s">
        <v>72</v>
      </c>
      <c r="F1043" s="5">
        <v>8932.1200000000008</v>
      </c>
      <c r="G1043" s="4" t="s">
        <v>73</v>
      </c>
      <c r="H1043" s="6">
        <f t="shared" si="16"/>
        <v>4367806.6800000006</v>
      </c>
    </row>
    <row r="1044" spans="1:8" x14ac:dyDescent="0.2">
      <c r="A1044" s="2" t="s">
        <v>1110</v>
      </c>
      <c r="B1044" s="2" t="s">
        <v>1066</v>
      </c>
      <c r="C1044" s="2" t="s">
        <v>48</v>
      </c>
      <c r="D1044" s="3">
        <v>4347</v>
      </c>
      <c r="E1044" s="4" t="s">
        <v>24</v>
      </c>
      <c r="F1044" s="5">
        <v>0.1</v>
      </c>
      <c r="G1044" s="4" t="s">
        <v>25</v>
      </c>
      <c r="H1044" s="6">
        <f t="shared" si="16"/>
        <v>434.70000000000005</v>
      </c>
    </row>
    <row r="1045" spans="1:8" x14ac:dyDescent="0.2">
      <c r="A1045" s="2" t="s">
        <v>1111</v>
      </c>
      <c r="B1045" s="2" t="s">
        <v>1066</v>
      </c>
      <c r="C1045" s="2" t="s">
        <v>46</v>
      </c>
      <c r="D1045" s="3">
        <v>1916</v>
      </c>
      <c r="E1045" s="4" t="s">
        <v>20</v>
      </c>
      <c r="F1045" s="5">
        <v>3.95</v>
      </c>
      <c r="G1045" s="4" t="s">
        <v>21</v>
      </c>
      <c r="H1045" s="6">
        <f t="shared" si="16"/>
        <v>7568.2000000000007</v>
      </c>
    </row>
    <row r="1046" spans="1:8" x14ac:dyDescent="0.2">
      <c r="A1046" s="2" t="s">
        <v>1112</v>
      </c>
      <c r="B1046" s="2" t="s">
        <v>1066</v>
      </c>
      <c r="C1046" s="2" t="s">
        <v>50</v>
      </c>
      <c r="D1046" s="3">
        <v>2040</v>
      </c>
      <c r="E1046" s="4" t="s">
        <v>20</v>
      </c>
      <c r="F1046" s="5">
        <v>1.0900000000000001</v>
      </c>
      <c r="G1046" s="4" t="s">
        <v>21</v>
      </c>
      <c r="H1046" s="6">
        <f t="shared" si="16"/>
        <v>2223.6000000000004</v>
      </c>
    </row>
    <row r="1047" spans="1:8" x14ac:dyDescent="0.2">
      <c r="A1047" s="2" t="s">
        <v>1113</v>
      </c>
      <c r="B1047" s="2" t="s">
        <v>1066</v>
      </c>
      <c r="C1047" s="2" t="s">
        <v>86</v>
      </c>
      <c r="D1047" s="3">
        <v>4381</v>
      </c>
      <c r="E1047" s="4" t="s">
        <v>72</v>
      </c>
      <c r="F1047" s="5">
        <v>8942.7999999999993</v>
      </c>
      <c r="G1047" s="4" t="s">
        <v>73</v>
      </c>
      <c r="H1047" s="6">
        <f t="shared" si="16"/>
        <v>39178406.799999997</v>
      </c>
    </row>
    <row r="1048" spans="1:8" x14ac:dyDescent="0.2">
      <c r="A1048" s="2" t="s">
        <v>1114</v>
      </c>
      <c r="B1048" s="2" t="s">
        <v>1066</v>
      </c>
      <c r="C1048" s="2" t="s">
        <v>37</v>
      </c>
      <c r="D1048" s="3">
        <v>1807</v>
      </c>
      <c r="E1048" s="4" t="s">
        <v>38</v>
      </c>
      <c r="F1048" s="5">
        <v>3.73</v>
      </c>
      <c r="G1048" s="4" t="s">
        <v>39</v>
      </c>
      <c r="H1048" s="6">
        <f t="shared" si="16"/>
        <v>6740.11</v>
      </c>
    </row>
    <row r="1049" spans="1:8" x14ac:dyDescent="0.2">
      <c r="A1049" s="2" t="s">
        <v>1115</v>
      </c>
      <c r="B1049" s="2" t="s">
        <v>1066</v>
      </c>
      <c r="C1049" s="2" t="s">
        <v>67</v>
      </c>
      <c r="D1049" s="3">
        <v>2916</v>
      </c>
      <c r="E1049" s="4" t="s">
        <v>24</v>
      </c>
      <c r="F1049" s="5">
        <v>0.57999999999999996</v>
      </c>
      <c r="G1049" s="4" t="s">
        <v>25</v>
      </c>
      <c r="H1049" s="6">
        <f t="shared" si="16"/>
        <v>1691.28</v>
      </c>
    </row>
    <row r="1050" spans="1:8" x14ac:dyDescent="0.2">
      <c r="A1050" s="2" t="s">
        <v>1116</v>
      </c>
      <c r="B1050" s="2" t="s">
        <v>1066</v>
      </c>
      <c r="C1050" s="2" t="s">
        <v>118</v>
      </c>
      <c r="D1050" s="3">
        <v>1452</v>
      </c>
      <c r="E1050" s="4" t="s">
        <v>24</v>
      </c>
      <c r="F1050" s="5">
        <v>0.56999999999999995</v>
      </c>
      <c r="G1050" s="4" t="s">
        <v>25</v>
      </c>
      <c r="H1050" s="6">
        <f t="shared" si="16"/>
        <v>827.63999999999987</v>
      </c>
    </row>
    <row r="1051" spans="1:8" x14ac:dyDescent="0.2">
      <c r="A1051" s="2" t="s">
        <v>1117</v>
      </c>
      <c r="B1051" s="2" t="s">
        <v>1066</v>
      </c>
      <c r="C1051" s="2" t="s">
        <v>57</v>
      </c>
      <c r="D1051" s="3">
        <v>2949</v>
      </c>
      <c r="E1051" s="4" t="s">
        <v>20</v>
      </c>
      <c r="F1051" s="5">
        <v>0.97</v>
      </c>
      <c r="G1051" s="4" t="s">
        <v>21</v>
      </c>
      <c r="H1051" s="6">
        <f t="shared" si="16"/>
        <v>2860.5299999999997</v>
      </c>
    </row>
    <row r="1052" spans="1:8" x14ac:dyDescent="0.2">
      <c r="A1052" s="2" t="s">
        <v>1118</v>
      </c>
      <c r="B1052" s="2" t="s">
        <v>1066</v>
      </c>
      <c r="C1052" s="2" t="s">
        <v>33</v>
      </c>
      <c r="D1052" s="3">
        <v>2890</v>
      </c>
      <c r="E1052" s="4" t="s">
        <v>34</v>
      </c>
      <c r="F1052" s="5">
        <v>5.87</v>
      </c>
      <c r="G1052" s="4" t="s">
        <v>35</v>
      </c>
      <c r="H1052" s="6">
        <f t="shared" si="16"/>
        <v>16964.3</v>
      </c>
    </row>
    <row r="1053" spans="1:8" x14ac:dyDescent="0.2">
      <c r="A1053" s="2" t="s">
        <v>1119</v>
      </c>
      <c r="B1053" s="2" t="s">
        <v>1066</v>
      </c>
      <c r="C1053" s="2" t="s">
        <v>46</v>
      </c>
      <c r="D1053" s="3">
        <v>1174</v>
      </c>
      <c r="E1053" s="4" t="s">
        <v>20</v>
      </c>
      <c r="F1053" s="5">
        <v>3.13</v>
      </c>
      <c r="G1053" s="4" t="s">
        <v>21</v>
      </c>
      <c r="H1053" s="6">
        <f t="shared" si="16"/>
        <v>3674.62</v>
      </c>
    </row>
    <row r="1054" spans="1:8" x14ac:dyDescent="0.2">
      <c r="A1054" s="2" t="s">
        <v>1120</v>
      </c>
      <c r="B1054" s="2" t="s">
        <v>1066</v>
      </c>
      <c r="C1054" s="2" t="s">
        <v>44</v>
      </c>
      <c r="D1054" s="3">
        <v>4042</v>
      </c>
      <c r="E1054" s="4" t="s">
        <v>24</v>
      </c>
      <c r="F1054" s="5">
        <v>1.28</v>
      </c>
      <c r="G1054" s="4" t="s">
        <v>25</v>
      </c>
      <c r="H1054" s="6">
        <f t="shared" si="16"/>
        <v>5173.76</v>
      </c>
    </row>
    <row r="1055" spans="1:8" x14ac:dyDescent="0.2">
      <c r="A1055" s="2" t="s">
        <v>1121</v>
      </c>
      <c r="B1055" s="2" t="s">
        <v>1066</v>
      </c>
      <c r="C1055" s="2" t="s">
        <v>118</v>
      </c>
      <c r="D1055" s="3">
        <v>4027</v>
      </c>
      <c r="E1055" s="4" t="s">
        <v>24</v>
      </c>
      <c r="F1055" s="5">
        <v>0.43</v>
      </c>
      <c r="G1055" s="4" t="s">
        <v>25</v>
      </c>
      <c r="H1055" s="6">
        <f t="shared" si="16"/>
        <v>1731.61</v>
      </c>
    </row>
    <row r="1056" spans="1:8" x14ac:dyDescent="0.2">
      <c r="A1056" s="2" t="s">
        <v>1122</v>
      </c>
      <c r="B1056" s="2" t="s">
        <v>1066</v>
      </c>
      <c r="C1056" s="2" t="s">
        <v>37</v>
      </c>
      <c r="D1056" s="3">
        <v>1915</v>
      </c>
      <c r="E1056" s="4" t="s">
        <v>38</v>
      </c>
      <c r="F1056" s="5">
        <v>3.8</v>
      </c>
      <c r="G1056" s="4" t="s">
        <v>39</v>
      </c>
      <c r="H1056" s="6">
        <f t="shared" si="16"/>
        <v>7277</v>
      </c>
    </row>
    <row r="1057" spans="1:8" x14ac:dyDescent="0.2">
      <c r="A1057" s="2" t="s">
        <v>1123</v>
      </c>
      <c r="B1057" s="2" t="s">
        <v>1066</v>
      </c>
      <c r="C1057" s="2" t="s">
        <v>33</v>
      </c>
      <c r="D1057" s="3">
        <v>4322</v>
      </c>
      <c r="E1057" s="4" t="s">
        <v>34</v>
      </c>
      <c r="F1057" s="5">
        <v>4.6900000000000004</v>
      </c>
      <c r="G1057" s="4" t="s">
        <v>35</v>
      </c>
      <c r="H1057" s="6">
        <f t="shared" si="16"/>
        <v>20270.18</v>
      </c>
    </row>
    <row r="1058" spans="1:8" x14ac:dyDescent="0.2">
      <c r="A1058" s="2" t="s">
        <v>1124</v>
      </c>
      <c r="B1058" s="2" t="s">
        <v>1066</v>
      </c>
      <c r="C1058" s="2" t="s">
        <v>57</v>
      </c>
      <c r="D1058" s="3">
        <v>1660</v>
      </c>
      <c r="E1058" s="4" t="s">
        <v>20</v>
      </c>
      <c r="F1058" s="5">
        <v>0.92</v>
      </c>
      <c r="G1058" s="4" t="s">
        <v>21</v>
      </c>
      <c r="H1058" s="6">
        <f t="shared" si="16"/>
        <v>1527.2</v>
      </c>
    </row>
    <row r="1059" spans="1:8" x14ac:dyDescent="0.2">
      <c r="A1059" s="2" t="s">
        <v>1125</v>
      </c>
      <c r="B1059" s="2" t="s">
        <v>1066</v>
      </c>
      <c r="C1059" s="2" t="s">
        <v>57</v>
      </c>
      <c r="D1059" s="3">
        <v>1463</v>
      </c>
      <c r="E1059" s="4" t="s">
        <v>20</v>
      </c>
      <c r="F1059" s="5">
        <v>0.97</v>
      </c>
      <c r="G1059" s="4" t="s">
        <v>21</v>
      </c>
      <c r="H1059" s="6">
        <f t="shared" si="16"/>
        <v>1419.11</v>
      </c>
    </row>
    <row r="1060" spans="1:8" x14ac:dyDescent="0.2">
      <c r="A1060" s="2" t="s">
        <v>1126</v>
      </c>
      <c r="B1060" s="2" t="s">
        <v>1066</v>
      </c>
      <c r="C1060" s="2" t="s">
        <v>57</v>
      </c>
      <c r="D1060" s="3">
        <v>497</v>
      </c>
      <c r="E1060" s="4" t="s">
        <v>20</v>
      </c>
      <c r="F1060" s="5">
        <v>0.61</v>
      </c>
      <c r="G1060" s="4" t="s">
        <v>21</v>
      </c>
      <c r="H1060" s="6">
        <f t="shared" si="16"/>
        <v>303.17</v>
      </c>
    </row>
    <row r="1061" spans="1:8" x14ac:dyDescent="0.2">
      <c r="A1061" s="2" t="s">
        <v>1127</v>
      </c>
      <c r="B1061" s="2" t="s">
        <v>1066</v>
      </c>
      <c r="C1061" s="2" t="s">
        <v>46</v>
      </c>
      <c r="D1061" s="3">
        <v>1170</v>
      </c>
      <c r="E1061" s="4" t="s">
        <v>20</v>
      </c>
      <c r="F1061" s="5">
        <v>3.55</v>
      </c>
      <c r="G1061" s="4" t="s">
        <v>21</v>
      </c>
      <c r="H1061" s="6">
        <f t="shared" si="16"/>
        <v>4153.5</v>
      </c>
    </row>
    <row r="1062" spans="1:8" x14ac:dyDescent="0.2">
      <c r="A1062" s="2" t="s">
        <v>1128</v>
      </c>
      <c r="B1062" s="2" t="s">
        <v>1066</v>
      </c>
      <c r="C1062" s="2" t="s">
        <v>78</v>
      </c>
      <c r="D1062" s="3">
        <v>2999</v>
      </c>
      <c r="E1062" s="4" t="s">
        <v>38</v>
      </c>
      <c r="F1062" s="5">
        <v>3.13</v>
      </c>
      <c r="G1062" s="4" t="s">
        <v>39</v>
      </c>
      <c r="H1062" s="6">
        <f t="shared" si="16"/>
        <v>9386.869999999999</v>
      </c>
    </row>
    <row r="1063" spans="1:8" x14ac:dyDescent="0.2">
      <c r="A1063" s="2" t="s">
        <v>1129</v>
      </c>
      <c r="B1063" s="2" t="s">
        <v>1066</v>
      </c>
      <c r="C1063" s="2" t="s">
        <v>19</v>
      </c>
      <c r="D1063" s="3">
        <v>3250</v>
      </c>
      <c r="E1063" s="4" t="s">
        <v>20</v>
      </c>
      <c r="F1063" s="5">
        <v>1.45</v>
      </c>
      <c r="G1063" s="4" t="s">
        <v>21</v>
      </c>
      <c r="H1063" s="6">
        <f t="shared" si="16"/>
        <v>4712.5</v>
      </c>
    </row>
    <row r="1064" spans="1:8" x14ac:dyDescent="0.2">
      <c r="A1064" s="2" t="s">
        <v>1130</v>
      </c>
      <c r="B1064" s="2" t="s">
        <v>1066</v>
      </c>
      <c r="C1064" s="2" t="s">
        <v>57</v>
      </c>
      <c r="D1064" s="3">
        <v>2482</v>
      </c>
      <c r="E1064" s="4" t="s">
        <v>20</v>
      </c>
      <c r="F1064" s="5">
        <v>0.73</v>
      </c>
      <c r="G1064" s="4" t="s">
        <v>21</v>
      </c>
      <c r="H1064" s="6">
        <f t="shared" si="16"/>
        <v>1811.86</v>
      </c>
    </row>
    <row r="1065" spans="1:8" x14ac:dyDescent="0.2">
      <c r="A1065" s="2" t="s">
        <v>1131</v>
      </c>
      <c r="B1065" s="2" t="s">
        <v>1066</v>
      </c>
      <c r="C1065" s="2" t="s">
        <v>118</v>
      </c>
      <c r="D1065" s="3">
        <v>3588</v>
      </c>
      <c r="E1065" s="4" t="s">
        <v>24</v>
      </c>
      <c r="F1065" s="5">
        <v>0.95</v>
      </c>
      <c r="G1065" s="4" t="s">
        <v>25</v>
      </c>
      <c r="H1065" s="6">
        <f t="shared" si="16"/>
        <v>3408.6</v>
      </c>
    </row>
    <row r="1066" spans="1:8" x14ac:dyDescent="0.2">
      <c r="A1066" s="2" t="s">
        <v>1132</v>
      </c>
      <c r="B1066" s="2" t="s">
        <v>1066</v>
      </c>
      <c r="C1066" s="2" t="s">
        <v>48</v>
      </c>
      <c r="D1066" s="3">
        <v>2609</v>
      </c>
      <c r="E1066" s="4" t="s">
        <v>24</v>
      </c>
      <c r="F1066" s="5">
        <v>0.08</v>
      </c>
      <c r="G1066" s="4" t="s">
        <v>25</v>
      </c>
      <c r="H1066" s="6">
        <f t="shared" si="16"/>
        <v>208.72</v>
      </c>
    </row>
    <row r="1067" spans="1:8" x14ac:dyDescent="0.2">
      <c r="A1067" s="2" t="s">
        <v>1133</v>
      </c>
      <c r="B1067" s="2" t="s">
        <v>1066</v>
      </c>
      <c r="C1067" s="2" t="s">
        <v>29</v>
      </c>
      <c r="D1067" s="3">
        <v>2933</v>
      </c>
      <c r="E1067" s="4" t="s">
        <v>30</v>
      </c>
      <c r="F1067" s="5">
        <v>1.27</v>
      </c>
      <c r="G1067" s="4" t="s">
        <v>31</v>
      </c>
      <c r="H1067" s="6">
        <f t="shared" si="16"/>
        <v>3724.91</v>
      </c>
    </row>
    <row r="1068" spans="1:8" x14ac:dyDescent="0.2">
      <c r="A1068" s="2" t="s">
        <v>1134</v>
      </c>
      <c r="B1068" s="2" t="s">
        <v>1066</v>
      </c>
      <c r="C1068" s="2" t="s">
        <v>46</v>
      </c>
      <c r="D1068" s="3">
        <v>1446</v>
      </c>
      <c r="E1068" s="4" t="s">
        <v>20</v>
      </c>
      <c r="F1068" s="5">
        <v>2.76</v>
      </c>
      <c r="G1068" s="4" t="s">
        <v>21</v>
      </c>
      <c r="H1068" s="6">
        <f t="shared" si="16"/>
        <v>3990.9599999999996</v>
      </c>
    </row>
    <row r="1069" spans="1:8" x14ac:dyDescent="0.2">
      <c r="A1069" s="2" t="s">
        <v>1135</v>
      </c>
      <c r="B1069" s="2" t="s">
        <v>1066</v>
      </c>
      <c r="C1069" s="2" t="s">
        <v>71</v>
      </c>
      <c r="D1069" s="3">
        <v>1053</v>
      </c>
      <c r="E1069" s="4" t="s">
        <v>72</v>
      </c>
      <c r="F1069" s="5">
        <v>2506.62</v>
      </c>
      <c r="G1069" s="4" t="s">
        <v>73</v>
      </c>
      <c r="H1069" s="6">
        <f t="shared" si="16"/>
        <v>2639470.86</v>
      </c>
    </row>
    <row r="1070" spans="1:8" x14ac:dyDescent="0.2">
      <c r="A1070" s="2" t="s">
        <v>1136</v>
      </c>
      <c r="B1070" s="2" t="s">
        <v>1066</v>
      </c>
      <c r="C1070" s="2" t="s">
        <v>33</v>
      </c>
      <c r="D1070" s="3">
        <v>4702</v>
      </c>
      <c r="E1070" s="4" t="s">
        <v>34</v>
      </c>
      <c r="F1070" s="5">
        <v>4.4800000000000004</v>
      </c>
      <c r="G1070" s="4" t="s">
        <v>35</v>
      </c>
      <c r="H1070" s="6">
        <f t="shared" si="16"/>
        <v>21064.960000000003</v>
      </c>
    </row>
    <row r="1071" spans="1:8" x14ac:dyDescent="0.2">
      <c r="A1071" s="2" t="s">
        <v>1137</v>
      </c>
      <c r="B1071" s="2" t="s">
        <v>1066</v>
      </c>
      <c r="C1071" s="2" t="s">
        <v>46</v>
      </c>
      <c r="D1071" s="3">
        <v>275</v>
      </c>
      <c r="E1071" s="4" t="s">
        <v>20</v>
      </c>
      <c r="F1071" s="5">
        <v>2.36</v>
      </c>
      <c r="G1071" s="4" t="s">
        <v>21</v>
      </c>
      <c r="H1071" s="6">
        <f t="shared" si="16"/>
        <v>649</v>
      </c>
    </row>
    <row r="1072" spans="1:8" x14ac:dyDescent="0.2">
      <c r="A1072" s="2" t="s">
        <v>1138</v>
      </c>
      <c r="B1072" s="2" t="s">
        <v>1066</v>
      </c>
      <c r="C1072" s="2" t="s">
        <v>57</v>
      </c>
      <c r="D1072" s="3">
        <v>1819</v>
      </c>
      <c r="E1072" s="4" t="s">
        <v>20</v>
      </c>
      <c r="F1072" s="5">
        <v>0.86</v>
      </c>
      <c r="G1072" s="4" t="s">
        <v>21</v>
      </c>
      <c r="H1072" s="6">
        <f t="shared" si="16"/>
        <v>1564.34</v>
      </c>
    </row>
    <row r="1073" spans="1:8" x14ac:dyDescent="0.2">
      <c r="A1073" s="2" t="s">
        <v>1139</v>
      </c>
      <c r="B1073" s="2" t="s">
        <v>1066</v>
      </c>
      <c r="C1073" s="2" t="s">
        <v>50</v>
      </c>
      <c r="D1073" s="3">
        <v>4074</v>
      </c>
      <c r="E1073" s="4" t="s">
        <v>20</v>
      </c>
      <c r="F1073" s="5">
        <v>0.78</v>
      </c>
      <c r="G1073" s="4" t="s">
        <v>21</v>
      </c>
      <c r="H1073" s="6">
        <f t="shared" si="16"/>
        <v>3177.7200000000003</v>
      </c>
    </row>
    <row r="1074" spans="1:8" x14ac:dyDescent="0.2">
      <c r="A1074" s="2" t="s">
        <v>1140</v>
      </c>
      <c r="B1074" s="2" t="s">
        <v>1066</v>
      </c>
      <c r="C1074" s="2" t="s">
        <v>27</v>
      </c>
      <c r="D1074" s="3">
        <v>1959</v>
      </c>
      <c r="E1074" s="4" t="s">
        <v>20</v>
      </c>
      <c r="F1074" s="5">
        <v>1.62</v>
      </c>
      <c r="G1074" s="4" t="s">
        <v>21</v>
      </c>
      <c r="H1074" s="6">
        <f t="shared" si="16"/>
        <v>3173.5800000000004</v>
      </c>
    </row>
    <row r="1075" spans="1:8" x14ac:dyDescent="0.2">
      <c r="A1075" s="2" t="s">
        <v>1141</v>
      </c>
      <c r="B1075" s="2" t="s">
        <v>1066</v>
      </c>
      <c r="C1075" s="2" t="s">
        <v>57</v>
      </c>
      <c r="D1075" s="3">
        <v>1385</v>
      </c>
      <c r="E1075" s="4" t="s">
        <v>20</v>
      </c>
      <c r="F1075" s="5">
        <v>0.85</v>
      </c>
      <c r="G1075" s="4" t="s">
        <v>21</v>
      </c>
      <c r="H1075" s="6">
        <f t="shared" si="16"/>
        <v>1177.25</v>
      </c>
    </row>
    <row r="1076" spans="1:8" x14ac:dyDescent="0.2">
      <c r="A1076" s="2" t="s">
        <v>1142</v>
      </c>
      <c r="B1076" s="2" t="s">
        <v>1066</v>
      </c>
      <c r="C1076" s="2" t="s">
        <v>27</v>
      </c>
      <c r="D1076" s="3">
        <v>2760</v>
      </c>
      <c r="E1076" s="4" t="s">
        <v>20</v>
      </c>
      <c r="F1076" s="5">
        <v>1.74</v>
      </c>
      <c r="G1076" s="4" t="s">
        <v>21</v>
      </c>
      <c r="H1076" s="6">
        <f t="shared" si="16"/>
        <v>4802.3999999999996</v>
      </c>
    </row>
    <row r="1077" spans="1:8" x14ac:dyDescent="0.2">
      <c r="A1077" s="2" t="s">
        <v>1143</v>
      </c>
      <c r="B1077" s="2" t="s">
        <v>1066</v>
      </c>
      <c r="C1077" s="2" t="s">
        <v>86</v>
      </c>
      <c r="D1077" s="3">
        <v>1727</v>
      </c>
      <c r="E1077" s="4" t="s">
        <v>72</v>
      </c>
      <c r="F1077" s="5">
        <v>8149.36</v>
      </c>
      <c r="G1077" s="4" t="s">
        <v>73</v>
      </c>
      <c r="H1077" s="6">
        <f t="shared" si="16"/>
        <v>14073944.719999999</v>
      </c>
    </row>
    <row r="1078" spans="1:8" x14ac:dyDescent="0.2">
      <c r="A1078" s="2" t="s">
        <v>1144</v>
      </c>
      <c r="B1078" s="2" t="s">
        <v>1066</v>
      </c>
      <c r="C1078" s="2" t="s">
        <v>27</v>
      </c>
      <c r="D1078" s="3">
        <v>2881</v>
      </c>
      <c r="E1078" s="4" t="s">
        <v>20</v>
      </c>
      <c r="F1078" s="5">
        <v>1.51</v>
      </c>
      <c r="G1078" s="4" t="s">
        <v>21</v>
      </c>
      <c r="H1078" s="6">
        <f t="shared" si="16"/>
        <v>4350.3100000000004</v>
      </c>
    </row>
    <row r="1079" spans="1:8" x14ac:dyDescent="0.2">
      <c r="A1079" s="2" t="s">
        <v>1145</v>
      </c>
      <c r="B1079" s="2" t="s">
        <v>1146</v>
      </c>
      <c r="C1079" s="2" t="s">
        <v>50</v>
      </c>
      <c r="D1079" s="3">
        <v>20</v>
      </c>
      <c r="E1079" s="4" t="s">
        <v>20</v>
      </c>
      <c r="F1079" s="5">
        <v>0.73</v>
      </c>
      <c r="G1079" s="4" t="s">
        <v>21</v>
      </c>
      <c r="H1079" s="6">
        <f t="shared" si="16"/>
        <v>14.6</v>
      </c>
    </row>
    <row r="1080" spans="1:8" x14ac:dyDescent="0.2">
      <c r="A1080" s="2" t="s">
        <v>1147</v>
      </c>
      <c r="B1080" s="2" t="s">
        <v>1146</v>
      </c>
      <c r="C1080" s="2" t="s">
        <v>23</v>
      </c>
      <c r="D1080" s="3">
        <v>3447</v>
      </c>
      <c r="E1080" s="4" t="s">
        <v>24</v>
      </c>
      <c r="F1080" s="5">
        <v>17.809999999999999</v>
      </c>
      <c r="G1080" s="4" t="s">
        <v>25</v>
      </c>
      <c r="H1080" s="6">
        <f t="shared" si="16"/>
        <v>61391.069999999992</v>
      </c>
    </row>
    <row r="1081" spans="1:8" x14ac:dyDescent="0.2">
      <c r="A1081" s="2" t="s">
        <v>1148</v>
      </c>
      <c r="B1081" s="2" t="s">
        <v>1146</v>
      </c>
      <c r="C1081" s="2" t="s">
        <v>52</v>
      </c>
      <c r="D1081" s="3">
        <v>4049</v>
      </c>
      <c r="E1081" s="4" t="s">
        <v>53</v>
      </c>
      <c r="F1081" s="5">
        <v>13.41</v>
      </c>
      <c r="G1081" s="4" t="s">
        <v>54</v>
      </c>
      <c r="H1081" s="6">
        <f t="shared" si="16"/>
        <v>54297.090000000004</v>
      </c>
    </row>
    <row r="1082" spans="1:8" x14ac:dyDescent="0.2">
      <c r="A1082" s="2" t="s">
        <v>1149</v>
      </c>
      <c r="B1082" s="2" t="s">
        <v>1146</v>
      </c>
      <c r="C1082" s="2" t="s">
        <v>19</v>
      </c>
      <c r="D1082" s="3">
        <v>4483</v>
      </c>
      <c r="E1082" s="4" t="s">
        <v>20</v>
      </c>
      <c r="F1082" s="5">
        <v>1.33</v>
      </c>
      <c r="G1082" s="4" t="s">
        <v>21</v>
      </c>
      <c r="H1082" s="6">
        <f t="shared" si="16"/>
        <v>5962.39</v>
      </c>
    </row>
    <row r="1083" spans="1:8" x14ac:dyDescent="0.2">
      <c r="A1083" s="2" t="s">
        <v>1150</v>
      </c>
      <c r="B1083" s="2" t="s">
        <v>1146</v>
      </c>
      <c r="C1083" s="2" t="s">
        <v>48</v>
      </c>
      <c r="D1083" s="3">
        <v>4745</v>
      </c>
      <c r="E1083" s="4" t="s">
        <v>24</v>
      </c>
      <c r="F1083" s="5">
        <v>0.15</v>
      </c>
      <c r="G1083" s="4" t="s">
        <v>25</v>
      </c>
      <c r="H1083" s="6">
        <f t="shared" si="16"/>
        <v>711.75</v>
      </c>
    </row>
    <row r="1084" spans="1:8" x14ac:dyDescent="0.2">
      <c r="A1084" s="2" t="s">
        <v>1151</v>
      </c>
      <c r="B1084" s="2" t="s">
        <v>1146</v>
      </c>
      <c r="C1084" s="2" t="s">
        <v>42</v>
      </c>
      <c r="D1084" s="3">
        <v>1342</v>
      </c>
      <c r="E1084" s="4" t="s">
        <v>24</v>
      </c>
      <c r="F1084" s="5">
        <v>4.8499999999999996</v>
      </c>
      <c r="G1084" s="4" t="s">
        <v>25</v>
      </c>
      <c r="H1084" s="6">
        <f t="shared" si="16"/>
        <v>6508.7</v>
      </c>
    </row>
    <row r="1085" spans="1:8" x14ac:dyDescent="0.2">
      <c r="A1085" s="2" t="s">
        <v>1152</v>
      </c>
      <c r="B1085" s="2" t="s">
        <v>1146</v>
      </c>
      <c r="C1085" s="2" t="s">
        <v>37</v>
      </c>
      <c r="D1085" s="3">
        <v>2425</v>
      </c>
      <c r="E1085" s="4" t="s">
        <v>38</v>
      </c>
      <c r="F1085" s="5">
        <v>2.06</v>
      </c>
      <c r="G1085" s="4" t="s">
        <v>39</v>
      </c>
      <c r="H1085" s="6">
        <f t="shared" si="16"/>
        <v>4995.5</v>
      </c>
    </row>
    <row r="1086" spans="1:8" x14ac:dyDescent="0.2">
      <c r="A1086" s="2" t="s">
        <v>1153</v>
      </c>
      <c r="B1086" s="2" t="s">
        <v>1146</v>
      </c>
      <c r="C1086" s="2" t="s">
        <v>86</v>
      </c>
      <c r="D1086" s="3">
        <v>867</v>
      </c>
      <c r="E1086" s="4" t="s">
        <v>72</v>
      </c>
      <c r="F1086" s="5">
        <v>7903.88</v>
      </c>
      <c r="G1086" s="4" t="s">
        <v>73</v>
      </c>
      <c r="H1086" s="6">
        <f t="shared" si="16"/>
        <v>6852663.96</v>
      </c>
    </row>
    <row r="1087" spans="1:8" x14ac:dyDescent="0.2">
      <c r="A1087" s="2" t="s">
        <v>1154</v>
      </c>
      <c r="B1087" s="2" t="s">
        <v>1146</v>
      </c>
      <c r="C1087" s="2" t="s">
        <v>118</v>
      </c>
      <c r="D1087" s="3">
        <v>3085</v>
      </c>
      <c r="E1087" s="4" t="s">
        <v>24</v>
      </c>
      <c r="F1087" s="5">
        <v>0.51</v>
      </c>
      <c r="G1087" s="4" t="s">
        <v>25</v>
      </c>
      <c r="H1087" s="6">
        <f t="shared" si="16"/>
        <v>1573.3500000000001</v>
      </c>
    </row>
    <row r="1088" spans="1:8" x14ac:dyDescent="0.2">
      <c r="A1088" s="2" t="s">
        <v>1155</v>
      </c>
      <c r="B1088" s="2" t="s">
        <v>1146</v>
      </c>
      <c r="C1088" s="2" t="s">
        <v>27</v>
      </c>
      <c r="D1088" s="3">
        <v>4491</v>
      </c>
      <c r="E1088" s="4" t="s">
        <v>20</v>
      </c>
      <c r="F1088" s="5">
        <v>2.33</v>
      </c>
      <c r="G1088" s="4" t="s">
        <v>21</v>
      </c>
      <c r="H1088" s="6">
        <f t="shared" si="16"/>
        <v>10464.030000000001</v>
      </c>
    </row>
    <row r="1089" spans="1:8" x14ac:dyDescent="0.2">
      <c r="A1089" s="2" t="s">
        <v>1156</v>
      </c>
      <c r="B1089" s="2" t="s">
        <v>1146</v>
      </c>
      <c r="C1089" s="2" t="s">
        <v>27</v>
      </c>
      <c r="D1089" s="3">
        <v>2778</v>
      </c>
      <c r="E1089" s="4" t="s">
        <v>20</v>
      </c>
      <c r="F1089" s="5">
        <v>1.91</v>
      </c>
      <c r="G1089" s="4" t="s">
        <v>21</v>
      </c>
      <c r="H1089" s="6">
        <f t="shared" si="16"/>
        <v>5305.98</v>
      </c>
    </row>
    <row r="1090" spans="1:8" x14ac:dyDescent="0.2">
      <c r="A1090" s="2" t="s">
        <v>1157</v>
      </c>
      <c r="B1090" s="2" t="s">
        <v>1146</v>
      </c>
      <c r="C1090" s="2" t="s">
        <v>147</v>
      </c>
      <c r="D1090" s="3">
        <v>3964</v>
      </c>
      <c r="E1090" s="4" t="s">
        <v>53</v>
      </c>
      <c r="F1090" s="5">
        <v>13.64</v>
      </c>
      <c r="G1090" s="4" t="s">
        <v>54</v>
      </c>
      <c r="H1090" s="6">
        <f t="shared" ref="H1090:H1153" si="17">D1090*F1090</f>
        <v>54068.959999999999</v>
      </c>
    </row>
    <row r="1091" spans="1:8" x14ac:dyDescent="0.2">
      <c r="A1091" s="2" t="s">
        <v>1158</v>
      </c>
      <c r="B1091" s="2" t="s">
        <v>1146</v>
      </c>
      <c r="C1091" s="2" t="s">
        <v>52</v>
      </c>
      <c r="D1091" s="3">
        <v>1361</v>
      </c>
      <c r="E1091" s="4" t="s">
        <v>53</v>
      </c>
      <c r="F1091" s="5">
        <v>12.04</v>
      </c>
      <c r="G1091" s="4" t="s">
        <v>54</v>
      </c>
      <c r="H1091" s="6">
        <f t="shared" si="17"/>
        <v>16386.439999999999</v>
      </c>
    </row>
    <row r="1092" spans="1:8" x14ac:dyDescent="0.2">
      <c r="A1092" s="2" t="s">
        <v>1159</v>
      </c>
      <c r="B1092" s="2" t="s">
        <v>1146</v>
      </c>
      <c r="C1092" s="2" t="s">
        <v>52</v>
      </c>
      <c r="D1092" s="3">
        <v>1296</v>
      </c>
      <c r="E1092" s="4" t="s">
        <v>53</v>
      </c>
      <c r="F1092" s="5">
        <v>9.27</v>
      </c>
      <c r="G1092" s="4" t="s">
        <v>54</v>
      </c>
      <c r="H1092" s="6">
        <f t="shared" si="17"/>
        <v>12013.92</v>
      </c>
    </row>
    <row r="1093" spans="1:8" x14ac:dyDescent="0.2">
      <c r="A1093" s="2" t="s">
        <v>1160</v>
      </c>
      <c r="B1093" s="2" t="s">
        <v>1146</v>
      </c>
      <c r="C1093" s="2" t="s">
        <v>57</v>
      </c>
      <c r="D1093" s="3">
        <v>1693</v>
      </c>
      <c r="E1093" s="4" t="s">
        <v>20</v>
      </c>
      <c r="F1093" s="5">
        <v>0.99</v>
      </c>
      <c r="G1093" s="4" t="s">
        <v>21</v>
      </c>
      <c r="H1093" s="6">
        <f t="shared" si="17"/>
        <v>1676.07</v>
      </c>
    </row>
    <row r="1094" spans="1:8" x14ac:dyDescent="0.2">
      <c r="A1094" s="2" t="s">
        <v>1161</v>
      </c>
      <c r="B1094" s="2" t="s">
        <v>1146</v>
      </c>
      <c r="C1094" s="2" t="s">
        <v>52</v>
      </c>
      <c r="D1094" s="3">
        <v>4549</v>
      </c>
      <c r="E1094" s="4" t="s">
        <v>53</v>
      </c>
      <c r="F1094" s="5">
        <v>12.61</v>
      </c>
      <c r="G1094" s="4" t="s">
        <v>54</v>
      </c>
      <c r="H1094" s="6">
        <f t="shared" si="17"/>
        <v>57362.89</v>
      </c>
    </row>
    <row r="1095" spans="1:8" x14ac:dyDescent="0.2">
      <c r="A1095" s="2" t="s">
        <v>1162</v>
      </c>
      <c r="B1095" s="2" t="s">
        <v>1146</v>
      </c>
      <c r="C1095" s="2" t="s">
        <v>29</v>
      </c>
      <c r="D1095" s="3">
        <v>2183</v>
      </c>
      <c r="E1095" s="4" t="s">
        <v>30</v>
      </c>
      <c r="F1095" s="5">
        <v>1.79</v>
      </c>
      <c r="G1095" s="4" t="s">
        <v>31</v>
      </c>
      <c r="H1095" s="6">
        <f t="shared" si="17"/>
        <v>3907.57</v>
      </c>
    </row>
    <row r="1096" spans="1:8" x14ac:dyDescent="0.2">
      <c r="A1096" s="2" t="s">
        <v>1163</v>
      </c>
      <c r="B1096" s="2" t="s">
        <v>1146</v>
      </c>
      <c r="C1096" s="2" t="s">
        <v>71</v>
      </c>
      <c r="D1096" s="3">
        <v>1955</v>
      </c>
      <c r="E1096" s="4" t="s">
        <v>72</v>
      </c>
      <c r="F1096" s="5">
        <v>2457.5500000000002</v>
      </c>
      <c r="G1096" s="4" t="s">
        <v>73</v>
      </c>
      <c r="H1096" s="6">
        <f t="shared" si="17"/>
        <v>4804510.25</v>
      </c>
    </row>
    <row r="1097" spans="1:8" x14ac:dyDescent="0.2">
      <c r="A1097" s="2" t="s">
        <v>1164</v>
      </c>
      <c r="B1097" s="2" t="s">
        <v>1146</v>
      </c>
      <c r="C1097" s="2" t="s">
        <v>67</v>
      </c>
      <c r="D1097" s="3">
        <v>4693</v>
      </c>
      <c r="E1097" s="4" t="s">
        <v>24</v>
      </c>
      <c r="F1097" s="5">
        <v>0.46</v>
      </c>
      <c r="G1097" s="4" t="s">
        <v>25</v>
      </c>
      <c r="H1097" s="6">
        <f t="shared" si="17"/>
        <v>2158.7800000000002</v>
      </c>
    </row>
    <row r="1098" spans="1:8" x14ac:dyDescent="0.2">
      <c r="A1098" s="2" t="s">
        <v>1165</v>
      </c>
      <c r="B1098" s="2" t="s">
        <v>1146</v>
      </c>
      <c r="C1098" s="2" t="s">
        <v>48</v>
      </c>
      <c r="D1098" s="3">
        <v>1268</v>
      </c>
      <c r="E1098" s="4" t="s">
        <v>24</v>
      </c>
      <c r="F1098" s="5">
        <v>0.06</v>
      </c>
      <c r="G1098" s="4" t="s">
        <v>25</v>
      </c>
      <c r="H1098" s="6">
        <f t="shared" si="17"/>
        <v>76.08</v>
      </c>
    </row>
    <row r="1099" spans="1:8" x14ac:dyDescent="0.2">
      <c r="A1099" s="2" t="s">
        <v>1166</v>
      </c>
      <c r="B1099" s="2" t="s">
        <v>1146</v>
      </c>
      <c r="C1099" s="2" t="s">
        <v>33</v>
      </c>
      <c r="D1099" s="3">
        <v>3512</v>
      </c>
      <c r="E1099" s="4" t="s">
        <v>34</v>
      </c>
      <c r="F1099" s="5">
        <v>3.72</v>
      </c>
      <c r="G1099" s="4" t="s">
        <v>35</v>
      </c>
      <c r="H1099" s="6">
        <f t="shared" si="17"/>
        <v>13064.640000000001</v>
      </c>
    </row>
    <row r="1100" spans="1:8" x14ac:dyDescent="0.2">
      <c r="A1100" s="2" t="s">
        <v>1167</v>
      </c>
      <c r="B1100" s="2" t="s">
        <v>1146</v>
      </c>
      <c r="C1100" s="2" t="s">
        <v>147</v>
      </c>
      <c r="D1100" s="3">
        <v>3944</v>
      </c>
      <c r="E1100" s="4" t="s">
        <v>53</v>
      </c>
      <c r="F1100" s="5">
        <v>9.6</v>
      </c>
      <c r="G1100" s="4" t="s">
        <v>54</v>
      </c>
      <c r="H1100" s="6">
        <f t="shared" si="17"/>
        <v>37862.400000000001</v>
      </c>
    </row>
    <row r="1101" spans="1:8" x14ac:dyDescent="0.2">
      <c r="A1101" s="2" t="s">
        <v>1168</v>
      </c>
      <c r="B1101" s="2" t="s">
        <v>1146</v>
      </c>
      <c r="C1101" s="2" t="s">
        <v>33</v>
      </c>
      <c r="D1101" s="3">
        <v>1705</v>
      </c>
      <c r="E1101" s="4" t="s">
        <v>34</v>
      </c>
      <c r="F1101" s="5">
        <v>3.93</v>
      </c>
      <c r="G1101" s="4" t="s">
        <v>35</v>
      </c>
      <c r="H1101" s="6">
        <f t="shared" si="17"/>
        <v>6700.6500000000005</v>
      </c>
    </row>
    <row r="1102" spans="1:8" x14ac:dyDescent="0.2">
      <c r="A1102" s="2" t="s">
        <v>1169</v>
      </c>
      <c r="B1102" s="2" t="s">
        <v>1146</v>
      </c>
      <c r="C1102" s="2" t="s">
        <v>71</v>
      </c>
      <c r="D1102" s="3">
        <v>681</v>
      </c>
      <c r="E1102" s="4" t="s">
        <v>72</v>
      </c>
      <c r="F1102" s="5">
        <v>2684.14</v>
      </c>
      <c r="G1102" s="4" t="s">
        <v>73</v>
      </c>
      <c r="H1102" s="6">
        <f t="shared" si="17"/>
        <v>1827899.3399999999</v>
      </c>
    </row>
    <row r="1103" spans="1:8" x14ac:dyDescent="0.2">
      <c r="A1103" s="2" t="s">
        <v>1170</v>
      </c>
      <c r="B1103" s="2" t="s">
        <v>1146</v>
      </c>
      <c r="C1103" s="2" t="s">
        <v>50</v>
      </c>
      <c r="D1103" s="3">
        <v>2536</v>
      </c>
      <c r="E1103" s="4" t="s">
        <v>20</v>
      </c>
      <c r="F1103" s="5">
        <v>1.17</v>
      </c>
      <c r="G1103" s="4" t="s">
        <v>21</v>
      </c>
      <c r="H1103" s="6">
        <f t="shared" si="17"/>
        <v>2967.12</v>
      </c>
    </row>
    <row r="1104" spans="1:8" x14ac:dyDescent="0.2">
      <c r="A1104" s="2" t="s">
        <v>1171</v>
      </c>
      <c r="B1104" s="2" t="s">
        <v>1146</v>
      </c>
      <c r="C1104" s="2" t="s">
        <v>48</v>
      </c>
      <c r="D1104" s="3">
        <v>4016</v>
      </c>
      <c r="E1104" s="4" t="s">
        <v>24</v>
      </c>
      <c r="F1104" s="5">
        <v>0.18</v>
      </c>
      <c r="G1104" s="4" t="s">
        <v>25</v>
      </c>
      <c r="H1104" s="6">
        <f t="shared" si="17"/>
        <v>722.88</v>
      </c>
    </row>
    <row r="1105" spans="1:8" x14ac:dyDescent="0.2">
      <c r="A1105" s="2" t="s">
        <v>1172</v>
      </c>
      <c r="B1105" s="2" t="s">
        <v>1146</v>
      </c>
      <c r="C1105" s="2" t="s">
        <v>86</v>
      </c>
      <c r="D1105" s="3">
        <v>756</v>
      </c>
      <c r="E1105" s="4" t="s">
        <v>72</v>
      </c>
      <c r="F1105" s="5">
        <v>8698.61</v>
      </c>
      <c r="G1105" s="4" t="s">
        <v>73</v>
      </c>
      <c r="H1105" s="6">
        <f t="shared" si="17"/>
        <v>6576149.1600000001</v>
      </c>
    </row>
    <row r="1106" spans="1:8" x14ac:dyDescent="0.2">
      <c r="A1106" s="2" t="s">
        <v>1173</v>
      </c>
      <c r="B1106" s="2" t="s">
        <v>1146</v>
      </c>
      <c r="C1106" s="2" t="s">
        <v>67</v>
      </c>
      <c r="D1106" s="3">
        <v>1524</v>
      </c>
      <c r="E1106" s="4" t="s">
        <v>24</v>
      </c>
      <c r="F1106" s="5">
        <v>0.41</v>
      </c>
      <c r="G1106" s="4" t="s">
        <v>25</v>
      </c>
      <c r="H1106" s="6">
        <f t="shared" si="17"/>
        <v>624.83999999999992</v>
      </c>
    </row>
    <row r="1107" spans="1:8" x14ac:dyDescent="0.2">
      <c r="A1107" s="2" t="s">
        <v>1174</v>
      </c>
      <c r="B1107" s="2" t="s">
        <v>1146</v>
      </c>
      <c r="C1107" s="2" t="s">
        <v>67</v>
      </c>
      <c r="D1107" s="3">
        <v>3036</v>
      </c>
      <c r="E1107" s="4" t="s">
        <v>24</v>
      </c>
      <c r="F1107" s="5">
        <v>0.36</v>
      </c>
      <c r="G1107" s="4" t="s">
        <v>25</v>
      </c>
      <c r="H1107" s="6">
        <f t="shared" si="17"/>
        <v>1092.96</v>
      </c>
    </row>
    <row r="1108" spans="1:8" x14ac:dyDescent="0.2">
      <c r="A1108" s="2" t="s">
        <v>1175</v>
      </c>
      <c r="B1108" s="2" t="s">
        <v>1146</v>
      </c>
      <c r="C1108" s="2" t="s">
        <v>37</v>
      </c>
      <c r="D1108" s="3">
        <v>2166</v>
      </c>
      <c r="E1108" s="4" t="s">
        <v>38</v>
      </c>
      <c r="F1108" s="5">
        <v>3.32</v>
      </c>
      <c r="G1108" s="4" t="s">
        <v>39</v>
      </c>
      <c r="H1108" s="6">
        <f t="shared" si="17"/>
        <v>7191.12</v>
      </c>
    </row>
    <row r="1109" spans="1:8" x14ac:dyDescent="0.2">
      <c r="A1109" s="2" t="s">
        <v>1176</v>
      </c>
      <c r="B1109" s="2" t="s">
        <v>1146</v>
      </c>
      <c r="C1109" s="2" t="s">
        <v>86</v>
      </c>
      <c r="D1109" s="3">
        <v>1863</v>
      </c>
      <c r="E1109" s="4" t="s">
        <v>72</v>
      </c>
      <c r="F1109" s="5">
        <v>8971.91</v>
      </c>
      <c r="G1109" s="4" t="s">
        <v>73</v>
      </c>
      <c r="H1109" s="6">
        <f t="shared" si="17"/>
        <v>16714668.33</v>
      </c>
    </row>
    <row r="1110" spans="1:8" x14ac:dyDescent="0.2">
      <c r="A1110" s="2" t="s">
        <v>1177</v>
      </c>
      <c r="B1110" s="2" t="s">
        <v>1146</v>
      </c>
      <c r="C1110" s="2" t="s">
        <v>46</v>
      </c>
      <c r="D1110" s="3">
        <v>514</v>
      </c>
      <c r="E1110" s="4" t="s">
        <v>20</v>
      </c>
      <c r="F1110" s="5">
        <v>2.2999999999999998</v>
      </c>
      <c r="G1110" s="4" t="s">
        <v>21</v>
      </c>
      <c r="H1110" s="6">
        <f t="shared" si="17"/>
        <v>1182.1999999999998</v>
      </c>
    </row>
    <row r="1111" spans="1:8" x14ac:dyDescent="0.2">
      <c r="A1111" s="2" t="s">
        <v>1178</v>
      </c>
      <c r="B1111" s="2" t="s">
        <v>1146</v>
      </c>
      <c r="C1111" s="2" t="s">
        <v>50</v>
      </c>
      <c r="D1111" s="3">
        <v>712</v>
      </c>
      <c r="E1111" s="4" t="s">
        <v>20</v>
      </c>
      <c r="F1111" s="5">
        <v>1.1000000000000001</v>
      </c>
      <c r="G1111" s="4" t="s">
        <v>21</v>
      </c>
      <c r="H1111" s="6">
        <f t="shared" si="17"/>
        <v>783.2</v>
      </c>
    </row>
    <row r="1112" spans="1:8" x14ac:dyDescent="0.2">
      <c r="A1112" s="2" t="s">
        <v>1179</v>
      </c>
      <c r="B1112" s="2" t="s">
        <v>1146</v>
      </c>
      <c r="C1112" s="2" t="s">
        <v>29</v>
      </c>
      <c r="D1112" s="3">
        <v>3401</v>
      </c>
      <c r="E1112" s="4" t="s">
        <v>30</v>
      </c>
      <c r="F1112" s="5">
        <v>2.16</v>
      </c>
      <c r="G1112" s="4" t="s">
        <v>31</v>
      </c>
      <c r="H1112" s="6">
        <f t="shared" si="17"/>
        <v>7346.1600000000008</v>
      </c>
    </row>
    <row r="1113" spans="1:8" x14ac:dyDescent="0.2">
      <c r="A1113" s="2" t="s">
        <v>1180</v>
      </c>
      <c r="B1113" s="2" t="s">
        <v>1146</v>
      </c>
      <c r="C1113" s="2" t="s">
        <v>46</v>
      </c>
      <c r="D1113" s="3">
        <v>1873</v>
      </c>
      <c r="E1113" s="4" t="s">
        <v>20</v>
      </c>
      <c r="F1113" s="5">
        <v>3.11</v>
      </c>
      <c r="G1113" s="4" t="s">
        <v>21</v>
      </c>
      <c r="H1113" s="6">
        <f t="shared" si="17"/>
        <v>5825.03</v>
      </c>
    </row>
    <row r="1114" spans="1:8" x14ac:dyDescent="0.2">
      <c r="A1114" s="2" t="s">
        <v>1181</v>
      </c>
      <c r="B1114" s="2" t="s">
        <v>1146</v>
      </c>
      <c r="C1114" s="2" t="s">
        <v>67</v>
      </c>
      <c r="D1114" s="3">
        <v>4290</v>
      </c>
      <c r="E1114" s="4" t="s">
        <v>24</v>
      </c>
      <c r="F1114" s="5">
        <v>0.43</v>
      </c>
      <c r="G1114" s="4" t="s">
        <v>25</v>
      </c>
      <c r="H1114" s="6">
        <f t="shared" si="17"/>
        <v>1844.7</v>
      </c>
    </row>
    <row r="1115" spans="1:8" x14ac:dyDescent="0.2">
      <c r="A1115" s="2" t="s">
        <v>1182</v>
      </c>
      <c r="B1115" s="2" t="s">
        <v>1146</v>
      </c>
      <c r="C1115" s="2" t="s">
        <v>29</v>
      </c>
      <c r="D1115" s="3">
        <v>3899</v>
      </c>
      <c r="E1115" s="4" t="s">
        <v>30</v>
      </c>
      <c r="F1115" s="5">
        <v>1.69</v>
      </c>
      <c r="G1115" s="4" t="s">
        <v>31</v>
      </c>
      <c r="H1115" s="6">
        <f t="shared" si="17"/>
        <v>6589.3099999999995</v>
      </c>
    </row>
    <row r="1116" spans="1:8" x14ac:dyDescent="0.2">
      <c r="A1116" s="2" t="s">
        <v>1183</v>
      </c>
      <c r="B1116" s="2" t="s">
        <v>1146</v>
      </c>
      <c r="C1116" s="2" t="s">
        <v>42</v>
      </c>
      <c r="D1116" s="3">
        <v>3911</v>
      </c>
      <c r="E1116" s="4" t="s">
        <v>24</v>
      </c>
      <c r="F1116" s="5">
        <v>4.4000000000000004</v>
      </c>
      <c r="G1116" s="4" t="s">
        <v>25</v>
      </c>
      <c r="H1116" s="6">
        <f t="shared" si="17"/>
        <v>17208.400000000001</v>
      </c>
    </row>
    <row r="1117" spans="1:8" x14ac:dyDescent="0.2">
      <c r="A1117" s="2" t="s">
        <v>1184</v>
      </c>
      <c r="B1117" s="2" t="s">
        <v>1146</v>
      </c>
      <c r="C1117" s="2" t="s">
        <v>67</v>
      </c>
      <c r="D1117" s="3">
        <v>294</v>
      </c>
      <c r="E1117" s="4" t="s">
        <v>24</v>
      </c>
      <c r="F1117" s="5">
        <v>0.45</v>
      </c>
      <c r="G1117" s="4" t="s">
        <v>25</v>
      </c>
      <c r="H1117" s="6">
        <f t="shared" si="17"/>
        <v>132.30000000000001</v>
      </c>
    </row>
    <row r="1118" spans="1:8" x14ac:dyDescent="0.2">
      <c r="A1118" s="2" t="s">
        <v>1185</v>
      </c>
      <c r="B1118" s="2" t="s">
        <v>1146</v>
      </c>
      <c r="C1118" s="2" t="s">
        <v>78</v>
      </c>
      <c r="D1118" s="3">
        <v>4691</v>
      </c>
      <c r="E1118" s="4" t="s">
        <v>38</v>
      </c>
      <c r="F1118" s="5">
        <v>2.65</v>
      </c>
      <c r="G1118" s="4" t="s">
        <v>39</v>
      </c>
      <c r="H1118" s="6">
        <f t="shared" si="17"/>
        <v>12431.15</v>
      </c>
    </row>
    <row r="1119" spans="1:8" x14ac:dyDescent="0.2">
      <c r="A1119" s="2" t="s">
        <v>1186</v>
      </c>
      <c r="B1119" s="2" t="s">
        <v>1146</v>
      </c>
      <c r="C1119" s="2" t="s">
        <v>147</v>
      </c>
      <c r="D1119" s="3">
        <v>1217</v>
      </c>
      <c r="E1119" s="4" t="s">
        <v>53</v>
      </c>
      <c r="F1119" s="5">
        <v>8.9600000000000009</v>
      </c>
      <c r="G1119" s="4" t="s">
        <v>54</v>
      </c>
      <c r="H1119" s="6">
        <f t="shared" si="17"/>
        <v>10904.320000000002</v>
      </c>
    </row>
    <row r="1120" spans="1:8" x14ac:dyDescent="0.2">
      <c r="A1120" s="2" t="s">
        <v>1187</v>
      </c>
      <c r="B1120" s="2" t="s">
        <v>1146</v>
      </c>
      <c r="C1120" s="2" t="s">
        <v>23</v>
      </c>
      <c r="D1120" s="3">
        <v>1426</v>
      </c>
      <c r="E1120" s="4" t="s">
        <v>24</v>
      </c>
      <c r="F1120" s="5">
        <v>17.690000000000001</v>
      </c>
      <c r="G1120" s="4" t="s">
        <v>25</v>
      </c>
      <c r="H1120" s="6">
        <f t="shared" si="17"/>
        <v>25225.940000000002</v>
      </c>
    </row>
    <row r="1121" spans="1:8" x14ac:dyDescent="0.2">
      <c r="A1121" s="2" t="s">
        <v>1188</v>
      </c>
      <c r="B1121" s="2" t="s">
        <v>1146</v>
      </c>
      <c r="C1121" s="2" t="s">
        <v>118</v>
      </c>
      <c r="D1121" s="3">
        <v>1745</v>
      </c>
      <c r="E1121" s="4" t="s">
        <v>24</v>
      </c>
      <c r="F1121" s="5">
        <v>0.97</v>
      </c>
      <c r="G1121" s="4" t="s">
        <v>25</v>
      </c>
      <c r="H1121" s="6">
        <f t="shared" si="17"/>
        <v>1692.6499999999999</v>
      </c>
    </row>
    <row r="1122" spans="1:8" x14ac:dyDescent="0.2">
      <c r="A1122" s="2" t="s">
        <v>1189</v>
      </c>
      <c r="B1122" s="2" t="s">
        <v>1146</v>
      </c>
      <c r="C1122" s="2" t="s">
        <v>89</v>
      </c>
      <c r="D1122" s="3">
        <v>359</v>
      </c>
      <c r="E1122" s="4" t="s">
        <v>30</v>
      </c>
      <c r="F1122" s="5">
        <v>2.31</v>
      </c>
      <c r="G1122" s="4" t="s">
        <v>31</v>
      </c>
      <c r="H1122" s="6">
        <f t="shared" si="17"/>
        <v>829.29</v>
      </c>
    </row>
    <row r="1123" spans="1:8" x14ac:dyDescent="0.2">
      <c r="A1123" s="2" t="s">
        <v>1190</v>
      </c>
      <c r="B1123" s="2" t="s">
        <v>1146</v>
      </c>
      <c r="C1123" s="2" t="s">
        <v>52</v>
      </c>
      <c r="D1123" s="3">
        <v>1664</v>
      </c>
      <c r="E1123" s="4" t="s">
        <v>53</v>
      </c>
      <c r="F1123" s="5">
        <v>13.99</v>
      </c>
      <c r="G1123" s="4" t="s">
        <v>54</v>
      </c>
      <c r="H1123" s="6">
        <f t="shared" si="17"/>
        <v>23279.360000000001</v>
      </c>
    </row>
    <row r="1124" spans="1:8" x14ac:dyDescent="0.2">
      <c r="A1124" s="2" t="s">
        <v>1191</v>
      </c>
      <c r="B1124" s="2" t="s">
        <v>1146</v>
      </c>
      <c r="C1124" s="2" t="s">
        <v>89</v>
      </c>
      <c r="D1124" s="3">
        <v>4884</v>
      </c>
      <c r="E1124" s="4" t="s">
        <v>30</v>
      </c>
      <c r="F1124" s="5">
        <v>2.11</v>
      </c>
      <c r="G1124" s="4" t="s">
        <v>31</v>
      </c>
      <c r="H1124" s="6">
        <f t="shared" si="17"/>
        <v>10305.24</v>
      </c>
    </row>
    <row r="1125" spans="1:8" x14ac:dyDescent="0.2">
      <c r="A1125" s="2" t="s">
        <v>1192</v>
      </c>
      <c r="B1125" s="2" t="s">
        <v>1146</v>
      </c>
      <c r="C1125" s="2" t="s">
        <v>27</v>
      </c>
      <c r="D1125" s="3">
        <v>722</v>
      </c>
      <c r="E1125" s="4" t="s">
        <v>20</v>
      </c>
      <c r="F1125" s="5">
        <v>1.67</v>
      </c>
      <c r="G1125" s="4" t="s">
        <v>21</v>
      </c>
      <c r="H1125" s="6">
        <f t="shared" si="17"/>
        <v>1205.74</v>
      </c>
    </row>
    <row r="1126" spans="1:8" x14ac:dyDescent="0.2">
      <c r="A1126" s="2" t="s">
        <v>1193</v>
      </c>
      <c r="B1126" s="2" t="s">
        <v>1146</v>
      </c>
      <c r="C1126" s="2" t="s">
        <v>67</v>
      </c>
      <c r="D1126" s="3">
        <v>4532</v>
      </c>
      <c r="E1126" s="4" t="s">
        <v>24</v>
      </c>
      <c r="F1126" s="5">
        <v>0.4</v>
      </c>
      <c r="G1126" s="4" t="s">
        <v>25</v>
      </c>
      <c r="H1126" s="6">
        <f t="shared" si="17"/>
        <v>1812.8000000000002</v>
      </c>
    </row>
    <row r="1127" spans="1:8" x14ac:dyDescent="0.2">
      <c r="A1127" s="2" t="s">
        <v>1194</v>
      </c>
      <c r="B1127" s="2" t="s">
        <v>1146</v>
      </c>
      <c r="C1127" s="2" t="s">
        <v>86</v>
      </c>
      <c r="D1127" s="3">
        <v>4267</v>
      </c>
      <c r="E1127" s="4" t="s">
        <v>72</v>
      </c>
      <c r="F1127" s="5">
        <v>8441.42</v>
      </c>
      <c r="G1127" s="4" t="s">
        <v>73</v>
      </c>
      <c r="H1127" s="6">
        <f t="shared" si="17"/>
        <v>36019539.140000001</v>
      </c>
    </row>
    <row r="1128" spans="1:8" x14ac:dyDescent="0.2">
      <c r="A1128" s="2" t="s">
        <v>1195</v>
      </c>
      <c r="B1128" s="2" t="s">
        <v>1146</v>
      </c>
      <c r="C1128" s="2" t="s">
        <v>33</v>
      </c>
      <c r="D1128" s="3">
        <v>4823</v>
      </c>
      <c r="E1128" s="4" t="s">
        <v>34</v>
      </c>
      <c r="F1128" s="5">
        <v>4.8099999999999996</v>
      </c>
      <c r="G1128" s="4" t="s">
        <v>35</v>
      </c>
      <c r="H1128" s="6">
        <f t="shared" si="17"/>
        <v>23198.629999999997</v>
      </c>
    </row>
    <row r="1129" spans="1:8" x14ac:dyDescent="0.2">
      <c r="A1129" s="2" t="s">
        <v>1196</v>
      </c>
      <c r="B1129" s="2" t="s">
        <v>1146</v>
      </c>
      <c r="C1129" s="2" t="s">
        <v>52</v>
      </c>
      <c r="D1129" s="3">
        <v>931</v>
      </c>
      <c r="E1129" s="4" t="s">
        <v>53</v>
      </c>
      <c r="F1129" s="5">
        <v>11.07</v>
      </c>
      <c r="G1129" s="4" t="s">
        <v>54</v>
      </c>
      <c r="H1129" s="6">
        <f t="shared" si="17"/>
        <v>10306.17</v>
      </c>
    </row>
    <row r="1130" spans="1:8" x14ac:dyDescent="0.2">
      <c r="A1130" s="2" t="s">
        <v>1197</v>
      </c>
      <c r="B1130" s="2" t="s">
        <v>1146</v>
      </c>
      <c r="C1130" s="2" t="s">
        <v>89</v>
      </c>
      <c r="D1130" s="3">
        <v>4651</v>
      </c>
      <c r="E1130" s="4" t="s">
        <v>30</v>
      </c>
      <c r="F1130" s="5">
        <v>2.5099999999999998</v>
      </c>
      <c r="G1130" s="4" t="s">
        <v>31</v>
      </c>
      <c r="H1130" s="6">
        <f t="shared" si="17"/>
        <v>11674.009999999998</v>
      </c>
    </row>
    <row r="1131" spans="1:8" x14ac:dyDescent="0.2">
      <c r="A1131" s="2" t="s">
        <v>1198</v>
      </c>
      <c r="B1131" s="2" t="s">
        <v>1146</v>
      </c>
      <c r="C1131" s="2" t="s">
        <v>50</v>
      </c>
      <c r="D1131" s="3">
        <v>875</v>
      </c>
      <c r="E1131" s="4" t="s">
        <v>20</v>
      </c>
      <c r="F1131" s="5">
        <v>1.04</v>
      </c>
      <c r="G1131" s="4" t="s">
        <v>21</v>
      </c>
      <c r="H1131" s="6">
        <f t="shared" si="17"/>
        <v>910</v>
      </c>
    </row>
    <row r="1132" spans="1:8" x14ac:dyDescent="0.2">
      <c r="A1132" s="2" t="s">
        <v>1199</v>
      </c>
      <c r="B1132" s="2" t="s">
        <v>1146</v>
      </c>
      <c r="C1132" s="2" t="s">
        <v>50</v>
      </c>
      <c r="D1132" s="3">
        <v>2353</v>
      </c>
      <c r="E1132" s="4" t="s">
        <v>20</v>
      </c>
      <c r="F1132" s="5">
        <v>1.22</v>
      </c>
      <c r="G1132" s="4" t="s">
        <v>21</v>
      </c>
      <c r="H1132" s="6">
        <f t="shared" si="17"/>
        <v>2870.66</v>
      </c>
    </row>
    <row r="1133" spans="1:8" x14ac:dyDescent="0.2">
      <c r="A1133" s="2" t="s">
        <v>1200</v>
      </c>
      <c r="B1133" s="2" t="s">
        <v>1146</v>
      </c>
      <c r="C1133" s="2" t="s">
        <v>19</v>
      </c>
      <c r="D1133" s="3">
        <v>3376</v>
      </c>
      <c r="E1133" s="4" t="s">
        <v>20</v>
      </c>
      <c r="F1133" s="5">
        <v>1.26</v>
      </c>
      <c r="G1133" s="4" t="s">
        <v>21</v>
      </c>
      <c r="H1133" s="6">
        <f t="shared" si="17"/>
        <v>4253.76</v>
      </c>
    </row>
    <row r="1134" spans="1:8" x14ac:dyDescent="0.2">
      <c r="A1134" s="2" t="s">
        <v>1201</v>
      </c>
      <c r="B1134" s="2" t="s">
        <v>1146</v>
      </c>
      <c r="C1134" s="2" t="s">
        <v>48</v>
      </c>
      <c r="D1134" s="3">
        <v>4696</v>
      </c>
      <c r="E1134" s="4" t="s">
        <v>24</v>
      </c>
      <c r="F1134" s="5">
        <v>0.14000000000000001</v>
      </c>
      <c r="G1134" s="4" t="s">
        <v>25</v>
      </c>
      <c r="H1134" s="6">
        <f t="shared" si="17"/>
        <v>657.44</v>
      </c>
    </row>
    <row r="1135" spans="1:8" x14ac:dyDescent="0.2">
      <c r="A1135" s="2" t="s">
        <v>1202</v>
      </c>
      <c r="B1135" s="2" t="s">
        <v>1146</v>
      </c>
      <c r="C1135" s="2" t="s">
        <v>37</v>
      </c>
      <c r="D1135" s="3">
        <v>1420</v>
      </c>
      <c r="E1135" s="4" t="s">
        <v>38</v>
      </c>
      <c r="F1135" s="5">
        <v>2.83</v>
      </c>
      <c r="G1135" s="4" t="s">
        <v>39</v>
      </c>
      <c r="H1135" s="6">
        <f t="shared" si="17"/>
        <v>4018.6</v>
      </c>
    </row>
    <row r="1136" spans="1:8" x14ac:dyDescent="0.2">
      <c r="A1136" s="2" t="s">
        <v>1203</v>
      </c>
      <c r="B1136" s="2" t="s">
        <v>1146</v>
      </c>
      <c r="C1136" s="2" t="s">
        <v>89</v>
      </c>
      <c r="D1136" s="3">
        <v>4996</v>
      </c>
      <c r="E1136" s="4" t="s">
        <v>30</v>
      </c>
      <c r="F1136" s="5">
        <v>2.62</v>
      </c>
      <c r="G1136" s="4" t="s">
        <v>31</v>
      </c>
      <c r="H1136" s="6">
        <f t="shared" si="17"/>
        <v>13089.52</v>
      </c>
    </row>
    <row r="1137" spans="1:8" x14ac:dyDescent="0.2">
      <c r="A1137" s="2" t="s">
        <v>1204</v>
      </c>
      <c r="B1137" s="2" t="s">
        <v>1146</v>
      </c>
      <c r="C1137" s="2" t="s">
        <v>67</v>
      </c>
      <c r="D1137" s="3">
        <v>327</v>
      </c>
      <c r="E1137" s="4" t="s">
        <v>24</v>
      </c>
      <c r="F1137" s="5">
        <v>0.42</v>
      </c>
      <c r="G1137" s="4" t="s">
        <v>25</v>
      </c>
      <c r="H1137" s="6">
        <f t="shared" si="17"/>
        <v>137.34</v>
      </c>
    </row>
    <row r="1138" spans="1:8" x14ac:dyDescent="0.2">
      <c r="A1138" s="2" t="s">
        <v>1205</v>
      </c>
      <c r="B1138" s="2" t="s">
        <v>1146</v>
      </c>
      <c r="C1138" s="2" t="s">
        <v>57</v>
      </c>
      <c r="D1138" s="3">
        <v>1956</v>
      </c>
      <c r="E1138" s="4" t="s">
        <v>20</v>
      </c>
      <c r="F1138" s="5">
        <v>0.62</v>
      </c>
      <c r="G1138" s="4" t="s">
        <v>21</v>
      </c>
      <c r="H1138" s="6">
        <f t="shared" si="17"/>
        <v>1212.72</v>
      </c>
    </row>
    <row r="1139" spans="1:8" x14ac:dyDescent="0.2">
      <c r="A1139" s="2" t="s">
        <v>1206</v>
      </c>
      <c r="B1139" s="2" t="s">
        <v>1146</v>
      </c>
      <c r="C1139" s="2" t="s">
        <v>48</v>
      </c>
      <c r="D1139" s="3">
        <v>2210</v>
      </c>
      <c r="E1139" s="4" t="s">
        <v>24</v>
      </c>
      <c r="F1139" s="5">
        <v>0.18</v>
      </c>
      <c r="G1139" s="4" t="s">
        <v>25</v>
      </c>
      <c r="H1139" s="6">
        <f t="shared" si="17"/>
        <v>397.8</v>
      </c>
    </row>
    <row r="1140" spans="1:8" x14ac:dyDescent="0.2">
      <c r="A1140" s="2" t="s">
        <v>1207</v>
      </c>
      <c r="B1140" s="2" t="s">
        <v>1146</v>
      </c>
      <c r="C1140" s="2" t="s">
        <v>33</v>
      </c>
      <c r="D1140" s="3">
        <v>2777</v>
      </c>
      <c r="E1140" s="4" t="s">
        <v>34</v>
      </c>
      <c r="F1140" s="5">
        <v>5.54</v>
      </c>
      <c r="G1140" s="4" t="s">
        <v>35</v>
      </c>
      <c r="H1140" s="6">
        <f t="shared" si="17"/>
        <v>15384.58</v>
      </c>
    </row>
    <row r="1141" spans="1:8" x14ac:dyDescent="0.2">
      <c r="A1141" s="2" t="s">
        <v>1208</v>
      </c>
      <c r="B1141" s="2" t="s">
        <v>1146</v>
      </c>
      <c r="C1141" s="2" t="s">
        <v>71</v>
      </c>
      <c r="D1141" s="3">
        <v>2557</v>
      </c>
      <c r="E1141" s="4" t="s">
        <v>72</v>
      </c>
      <c r="F1141" s="5">
        <v>2568.21</v>
      </c>
      <c r="G1141" s="4" t="s">
        <v>73</v>
      </c>
      <c r="H1141" s="6">
        <f t="shared" si="17"/>
        <v>6566912.9699999997</v>
      </c>
    </row>
    <row r="1142" spans="1:8" x14ac:dyDescent="0.2">
      <c r="A1142" s="2" t="s">
        <v>1209</v>
      </c>
      <c r="B1142" s="2" t="s">
        <v>1146</v>
      </c>
      <c r="C1142" s="2" t="s">
        <v>48</v>
      </c>
      <c r="D1142" s="3">
        <v>814</v>
      </c>
      <c r="E1142" s="4" t="s">
        <v>24</v>
      </c>
      <c r="F1142" s="5">
        <v>0.2</v>
      </c>
      <c r="G1142" s="4" t="s">
        <v>25</v>
      </c>
      <c r="H1142" s="6">
        <f t="shared" si="17"/>
        <v>162.80000000000001</v>
      </c>
    </row>
    <row r="1143" spans="1:8" x14ac:dyDescent="0.2">
      <c r="A1143" s="2" t="s">
        <v>1210</v>
      </c>
      <c r="B1143" s="2" t="s">
        <v>1146</v>
      </c>
      <c r="C1143" s="2" t="s">
        <v>42</v>
      </c>
      <c r="D1143" s="3">
        <v>1110</v>
      </c>
      <c r="E1143" s="4" t="s">
        <v>24</v>
      </c>
      <c r="F1143" s="5">
        <v>4.4000000000000004</v>
      </c>
      <c r="G1143" s="4" t="s">
        <v>25</v>
      </c>
      <c r="H1143" s="6">
        <f t="shared" si="17"/>
        <v>4884</v>
      </c>
    </row>
    <row r="1144" spans="1:8" x14ac:dyDescent="0.2">
      <c r="A1144" s="2" t="s">
        <v>1211</v>
      </c>
      <c r="B1144" s="2" t="s">
        <v>1146</v>
      </c>
      <c r="C1144" s="2" t="s">
        <v>23</v>
      </c>
      <c r="D1144" s="3">
        <v>2638</v>
      </c>
      <c r="E1144" s="4" t="s">
        <v>24</v>
      </c>
      <c r="F1144" s="5">
        <v>13.62</v>
      </c>
      <c r="G1144" s="4" t="s">
        <v>25</v>
      </c>
      <c r="H1144" s="6">
        <f t="shared" si="17"/>
        <v>35929.56</v>
      </c>
    </row>
    <row r="1145" spans="1:8" x14ac:dyDescent="0.2">
      <c r="A1145" s="2" t="s">
        <v>1212</v>
      </c>
      <c r="B1145" s="2" t="s">
        <v>1146</v>
      </c>
      <c r="C1145" s="2" t="s">
        <v>52</v>
      </c>
      <c r="D1145" s="3">
        <v>4965</v>
      </c>
      <c r="E1145" s="4" t="s">
        <v>53</v>
      </c>
      <c r="F1145" s="5">
        <v>12.23</v>
      </c>
      <c r="G1145" s="4" t="s">
        <v>54</v>
      </c>
      <c r="H1145" s="6">
        <f t="shared" si="17"/>
        <v>60721.950000000004</v>
      </c>
    </row>
    <row r="1146" spans="1:8" x14ac:dyDescent="0.2">
      <c r="A1146" s="2" t="s">
        <v>1213</v>
      </c>
      <c r="B1146" s="2" t="s">
        <v>1146</v>
      </c>
      <c r="C1146" s="2" t="s">
        <v>44</v>
      </c>
      <c r="D1146" s="3">
        <v>3628</v>
      </c>
      <c r="E1146" s="4" t="s">
        <v>24</v>
      </c>
      <c r="F1146" s="5">
        <v>1.05</v>
      </c>
      <c r="G1146" s="4" t="s">
        <v>25</v>
      </c>
      <c r="H1146" s="6">
        <f t="shared" si="17"/>
        <v>3809.4</v>
      </c>
    </row>
    <row r="1147" spans="1:8" x14ac:dyDescent="0.2">
      <c r="A1147" s="2" t="s">
        <v>1214</v>
      </c>
      <c r="B1147" s="2" t="s">
        <v>1146</v>
      </c>
      <c r="C1147" s="2" t="s">
        <v>52</v>
      </c>
      <c r="D1147" s="3">
        <v>3978</v>
      </c>
      <c r="E1147" s="4" t="s">
        <v>53</v>
      </c>
      <c r="F1147" s="5">
        <v>12.8</v>
      </c>
      <c r="G1147" s="4" t="s">
        <v>54</v>
      </c>
      <c r="H1147" s="6">
        <f t="shared" si="17"/>
        <v>50918.400000000001</v>
      </c>
    </row>
    <row r="1148" spans="1:8" x14ac:dyDescent="0.2">
      <c r="A1148" s="2" t="s">
        <v>1215</v>
      </c>
      <c r="B1148" s="2" t="s">
        <v>1146</v>
      </c>
      <c r="C1148" s="2" t="s">
        <v>19</v>
      </c>
      <c r="D1148" s="3">
        <v>470</v>
      </c>
      <c r="E1148" s="4" t="s">
        <v>20</v>
      </c>
      <c r="F1148" s="5">
        <v>1.41</v>
      </c>
      <c r="G1148" s="4" t="s">
        <v>21</v>
      </c>
      <c r="H1148" s="6">
        <f t="shared" si="17"/>
        <v>662.69999999999993</v>
      </c>
    </row>
    <row r="1149" spans="1:8" x14ac:dyDescent="0.2">
      <c r="A1149" s="2" t="s">
        <v>1216</v>
      </c>
      <c r="B1149" s="2" t="s">
        <v>1146</v>
      </c>
      <c r="C1149" s="2" t="s">
        <v>118</v>
      </c>
      <c r="D1149" s="3">
        <v>547</v>
      </c>
      <c r="E1149" s="4" t="s">
        <v>24</v>
      </c>
      <c r="F1149" s="5">
        <v>0.62</v>
      </c>
      <c r="G1149" s="4" t="s">
        <v>25</v>
      </c>
      <c r="H1149" s="6">
        <f t="shared" si="17"/>
        <v>339.14</v>
      </c>
    </row>
    <row r="1150" spans="1:8" x14ac:dyDescent="0.2">
      <c r="A1150" s="2" t="s">
        <v>1217</v>
      </c>
      <c r="B1150" s="2" t="s">
        <v>1146</v>
      </c>
      <c r="C1150" s="2" t="s">
        <v>78</v>
      </c>
      <c r="D1150" s="3">
        <v>3314</v>
      </c>
      <c r="E1150" s="4" t="s">
        <v>38</v>
      </c>
      <c r="F1150" s="5">
        <v>1.73</v>
      </c>
      <c r="G1150" s="4" t="s">
        <v>39</v>
      </c>
      <c r="H1150" s="6">
        <f t="shared" si="17"/>
        <v>5733.22</v>
      </c>
    </row>
    <row r="1151" spans="1:8" x14ac:dyDescent="0.2">
      <c r="A1151" s="2" t="s">
        <v>1218</v>
      </c>
      <c r="B1151" s="2" t="s">
        <v>1146</v>
      </c>
      <c r="C1151" s="2" t="s">
        <v>78</v>
      </c>
      <c r="D1151" s="3">
        <v>4668</v>
      </c>
      <c r="E1151" s="4" t="s">
        <v>38</v>
      </c>
      <c r="F1151" s="5">
        <v>1.55</v>
      </c>
      <c r="G1151" s="4" t="s">
        <v>39</v>
      </c>
      <c r="H1151" s="6">
        <f t="shared" si="17"/>
        <v>7235.4000000000005</v>
      </c>
    </row>
    <row r="1152" spans="1:8" x14ac:dyDescent="0.2">
      <c r="A1152" s="2" t="s">
        <v>1219</v>
      </c>
      <c r="B1152" s="2" t="s">
        <v>1146</v>
      </c>
      <c r="C1152" s="2" t="s">
        <v>44</v>
      </c>
      <c r="D1152" s="3">
        <v>1654</v>
      </c>
      <c r="E1152" s="4" t="s">
        <v>24</v>
      </c>
      <c r="F1152" s="5">
        <v>1.49</v>
      </c>
      <c r="G1152" s="4" t="s">
        <v>25</v>
      </c>
      <c r="H1152" s="6">
        <f t="shared" si="17"/>
        <v>2464.46</v>
      </c>
    </row>
    <row r="1153" spans="1:8" x14ac:dyDescent="0.2">
      <c r="A1153" s="2" t="s">
        <v>1220</v>
      </c>
      <c r="B1153" s="2" t="s">
        <v>1146</v>
      </c>
      <c r="C1153" s="2" t="s">
        <v>42</v>
      </c>
      <c r="D1153" s="3">
        <v>280</v>
      </c>
      <c r="E1153" s="4" t="s">
        <v>24</v>
      </c>
      <c r="F1153" s="5">
        <v>4.87</v>
      </c>
      <c r="G1153" s="4" t="s">
        <v>25</v>
      </c>
      <c r="H1153" s="6">
        <f t="shared" si="17"/>
        <v>1363.6000000000001</v>
      </c>
    </row>
    <row r="1154" spans="1:8" x14ac:dyDescent="0.2">
      <c r="A1154" s="2" t="s">
        <v>1221</v>
      </c>
      <c r="B1154" s="2" t="s">
        <v>1146</v>
      </c>
      <c r="C1154" s="2" t="s">
        <v>19</v>
      </c>
      <c r="D1154" s="3">
        <v>1641</v>
      </c>
      <c r="E1154" s="4" t="s">
        <v>20</v>
      </c>
      <c r="F1154" s="5">
        <v>1.26</v>
      </c>
      <c r="G1154" s="4" t="s">
        <v>21</v>
      </c>
      <c r="H1154" s="6">
        <f t="shared" ref="H1154:H1217" si="18">D1154*F1154</f>
        <v>2067.66</v>
      </c>
    </row>
    <row r="1155" spans="1:8" x14ac:dyDescent="0.2">
      <c r="A1155" s="2" t="s">
        <v>1222</v>
      </c>
      <c r="B1155" s="2" t="s">
        <v>1146</v>
      </c>
      <c r="C1155" s="2" t="s">
        <v>23</v>
      </c>
      <c r="D1155" s="3">
        <v>4147</v>
      </c>
      <c r="E1155" s="4" t="s">
        <v>24</v>
      </c>
      <c r="F1155" s="5">
        <v>14.38</v>
      </c>
      <c r="G1155" s="4" t="s">
        <v>25</v>
      </c>
      <c r="H1155" s="6">
        <f t="shared" si="18"/>
        <v>59633.86</v>
      </c>
    </row>
    <row r="1156" spans="1:8" x14ac:dyDescent="0.2">
      <c r="A1156" s="2" t="s">
        <v>1223</v>
      </c>
      <c r="B1156" s="2" t="s">
        <v>1146</v>
      </c>
      <c r="C1156" s="2" t="s">
        <v>50</v>
      </c>
      <c r="D1156" s="3">
        <v>260</v>
      </c>
      <c r="E1156" s="4" t="s">
        <v>20</v>
      </c>
      <c r="F1156" s="5">
        <v>0.85</v>
      </c>
      <c r="G1156" s="4" t="s">
        <v>21</v>
      </c>
      <c r="H1156" s="6">
        <f t="shared" si="18"/>
        <v>221</v>
      </c>
    </row>
    <row r="1157" spans="1:8" x14ac:dyDescent="0.2">
      <c r="A1157" s="2" t="s">
        <v>1224</v>
      </c>
      <c r="B1157" s="2" t="s">
        <v>1146</v>
      </c>
      <c r="C1157" s="2" t="s">
        <v>48</v>
      </c>
      <c r="D1157" s="3">
        <v>4876</v>
      </c>
      <c r="E1157" s="4" t="s">
        <v>24</v>
      </c>
      <c r="F1157" s="5">
        <v>0.12</v>
      </c>
      <c r="G1157" s="4" t="s">
        <v>25</v>
      </c>
      <c r="H1157" s="6">
        <f t="shared" si="18"/>
        <v>585.12</v>
      </c>
    </row>
    <row r="1158" spans="1:8" x14ac:dyDescent="0.2">
      <c r="A1158" s="2" t="s">
        <v>1225</v>
      </c>
      <c r="B1158" s="2" t="s">
        <v>1146</v>
      </c>
      <c r="C1158" s="2" t="s">
        <v>48</v>
      </c>
      <c r="D1158" s="3">
        <v>4817</v>
      </c>
      <c r="E1158" s="4" t="s">
        <v>24</v>
      </c>
      <c r="F1158" s="5">
        <v>0.13</v>
      </c>
      <c r="G1158" s="4" t="s">
        <v>25</v>
      </c>
      <c r="H1158" s="6">
        <f t="shared" si="18"/>
        <v>626.21</v>
      </c>
    </row>
    <row r="1159" spans="1:8" x14ac:dyDescent="0.2">
      <c r="A1159" s="2" t="s">
        <v>1226</v>
      </c>
      <c r="B1159" s="2" t="s">
        <v>1146</v>
      </c>
      <c r="C1159" s="2" t="s">
        <v>19</v>
      </c>
      <c r="D1159" s="3">
        <v>1349</v>
      </c>
      <c r="E1159" s="4" t="s">
        <v>20</v>
      </c>
      <c r="F1159" s="5">
        <v>1.6</v>
      </c>
      <c r="G1159" s="4" t="s">
        <v>21</v>
      </c>
      <c r="H1159" s="6">
        <f t="shared" si="18"/>
        <v>2158.4</v>
      </c>
    </row>
    <row r="1160" spans="1:8" x14ac:dyDescent="0.2">
      <c r="A1160" s="2" t="s">
        <v>1227</v>
      </c>
      <c r="B1160" s="2" t="s">
        <v>1146</v>
      </c>
      <c r="C1160" s="2" t="s">
        <v>86</v>
      </c>
      <c r="D1160" s="3">
        <v>750</v>
      </c>
      <c r="E1160" s="4" t="s">
        <v>72</v>
      </c>
      <c r="F1160" s="5">
        <v>8199.1</v>
      </c>
      <c r="G1160" s="4" t="s">
        <v>73</v>
      </c>
      <c r="H1160" s="6">
        <f t="shared" si="18"/>
        <v>6149325</v>
      </c>
    </row>
    <row r="1161" spans="1:8" x14ac:dyDescent="0.2">
      <c r="A1161" s="2" t="s">
        <v>1228</v>
      </c>
      <c r="B1161" s="2" t="s">
        <v>1146</v>
      </c>
      <c r="C1161" s="2" t="s">
        <v>67</v>
      </c>
      <c r="D1161" s="3">
        <v>416</v>
      </c>
      <c r="E1161" s="4" t="s">
        <v>24</v>
      </c>
      <c r="F1161" s="5">
        <v>0.35</v>
      </c>
      <c r="G1161" s="4" t="s">
        <v>25</v>
      </c>
      <c r="H1161" s="6">
        <f t="shared" si="18"/>
        <v>145.6</v>
      </c>
    </row>
    <row r="1162" spans="1:8" x14ac:dyDescent="0.2">
      <c r="A1162" s="2" t="s">
        <v>1229</v>
      </c>
      <c r="B1162" s="2" t="s">
        <v>1146</v>
      </c>
      <c r="C1162" s="2" t="s">
        <v>46</v>
      </c>
      <c r="D1162" s="3">
        <v>1765</v>
      </c>
      <c r="E1162" s="4" t="s">
        <v>20</v>
      </c>
      <c r="F1162" s="5">
        <v>3.71</v>
      </c>
      <c r="G1162" s="4" t="s">
        <v>21</v>
      </c>
      <c r="H1162" s="6">
        <f t="shared" si="18"/>
        <v>6548.15</v>
      </c>
    </row>
    <row r="1163" spans="1:8" x14ac:dyDescent="0.2">
      <c r="A1163" s="2" t="s">
        <v>1230</v>
      </c>
      <c r="B1163" s="2" t="s">
        <v>1146</v>
      </c>
      <c r="C1163" s="2" t="s">
        <v>42</v>
      </c>
      <c r="D1163" s="3">
        <v>1703</v>
      </c>
      <c r="E1163" s="4" t="s">
        <v>24</v>
      </c>
      <c r="F1163" s="5">
        <v>4.3099999999999996</v>
      </c>
      <c r="G1163" s="4" t="s">
        <v>25</v>
      </c>
      <c r="H1163" s="6">
        <f t="shared" si="18"/>
        <v>7339.9299999999994</v>
      </c>
    </row>
    <row r="1164" spans="1:8" x14ac:dyDescent="0.2">
      <c r="A1164" s="2" t="s">
        <v>1231</v>
      </c>
      <c r="B1164" s="2" t="s">
        <v>1146</v>
      </c>
      <c r="C1164" s="2" t="s">
        <v>52</v>
      </c>
      <c r="D1164" s="3">
        <v>4214</v>
      </c>
      <c r="E1164" s="4" t="s">
        <v>53</v>
      </c>
      <c r="F1164" s="5">
        <v>9.1</v>
      </c>
      <c r="G1164" s="4" t="s">
        <v>54</v>
      </c>
      <c r="H1164" s="6">
        <f t="shared" si="18"/>
        <v>38347.4</v>
      </c>
    </row>
    <row r="1165" spans="1:8" x14ac:dyDescent="0.2">
      <c r="A1165" s="2" t="s">
        <v>1232</v>
      </c>
      <c r="B1165" s="2" t="s">
        <v>1146</v>
      </c>
      <c r="C1165" s="2" t="s">
        <v>33</v>
      </c>
      <c r="D1165" s="3">
        <v>3893</v>
      </c>
      <c r="E1165" s="4" t="s">
        <v>34</v>
      </c>
      <c r="F1165" s="5">
        <v>5.78</v>
      </c>
      <c r="G1165" s="4" t="s">
        <v>35</v>
      </c>
      <c r="H1165" s="6">
        <f t="shared" si="18"/>
        <v>22501.54</v>
      </c>
    </row>
    <row r="1166" spans="1:8" x14ac:dyDescent="0.2">
      <c r="A1166" s="2" t="s">
        <v>1233</v>
      </c>
      <c r="B1166" s="2" t="s">
        <v>1146</v>
      </c>
      <c r="C1166" s="2" t="s">
        <v>118</v>
      </c>
      <c r="D1166" s="3">
        <v>4934</v>
      </c>
      <c r="E1166" s="4" t="s">
        <v>24</v>
      </c>
      <c r="F1166" s="5">
        <v>0.96</v>
      </c>
      <c r="G1166" s="4" t="s">
        <v>25</v>
      </c>
      <c r="H1166" s="6">
        <f t="shared" si="18"/>
        <v>4736.6399999999994</v>
      </c>
    </row>
    <row r="1167" spans="1:8" x14ac:dyDescent="0.2">
      <c r="A1167" s="2" t="s">
        <v>1234</v>
      </c>
      <c r="B1167" s="2" t="s">
        <v>1146</v>
      </c>
      <c r="C1167" s="2" t="s">
        <v>42</v>
      </c>
      <c r="D1167" s="3">
        <v>2077</v>
      </c>
      <c r="E1167" s="4" t="s">
        <v>24</v>
      </c>
      <c r="F1167" s="5">
        <v>5.33</v>
      </c>
      <c r="G1167" s="4" t="s">
        <v>25</v>
      </c>
      <c r="H1167" s="6">
        <f t="shared" si="18"/>
        <v>11070.41</v>
      </c>
    </row>
    <row r="1168" spans="1:8" x14ac:dyDescent="0.2">
      <c r="A1168" s="2" t="s">
        <v>1235</v>
      </c>
      <c r="B1168" s="2" t="s">
        <v>1146</v>
      </c>
      <c r="C1168" s="2" t="s">
        <v>71</v>
      </c>
      <c r="D1168" s="3">
        <v>2265</v>
      </c>
      <c r="E1168" s="4" t="s">
        <v>72</v>
      </c>
      <c r="F1168" s="5">
        <v>2654.28</v>
      </c>
      <c r="G1168" s="4" t="s">
        <v>73</v>
      </c>
      <c r="H1168" s="6">
        <f t="shared" si="18"/>
        <v>6011944.2000000002</v>
      </c>
    </row>
    <row r="1169" spans="1:8" x14ac:dyDescent="0.2">
      <c r="A1169" s="2" t="s">
        <v>1236</v>
      </c>
      <c r="B1169" s="2" t="s">
        <v>1146</v>
      </c>
      <c r="C1169" s="2" t="s">
        <v>67</v>
      </c>
      <c r="D1169" s="3">
        <v>2866</v>
      </c>
      <c r="E1169" s="4" t="s">
        <v>24</v>
      </c>
      <c r="F1169" s="5">
        <v>0.44</v>
      </c>
      <c r="G1169" s="4" t="s">
        <v>25</v>
      </c>
      <c r="H1169" s="6">
        <f t="shared" si="18"/>
        <v>1261.04</v>
      </c>
    </row>
    <row r="1170" spans="1:8" x14ac:dyDescent="0.2">
      <c r="A1170" s="2" t="s">
        <v>1237</v>
      </c>
      <c r="B1170" s="2" t="s">
        <v>1146</v>
      </c>
      <c r="C1170" s="2" t="s">
        <v>44</v>
      </c>
      <c r="D1170" s="3">
        <v>3833</v>
      </c>
      <c r="E1170" s="4" t="s">
        <v>24</v>
      </c>
      <c r="F1170" s="5">
        <v>1.1100000000000001</v>
      </c>
      <c r="G1170" s="4" t="s">
        <v>25</v>
      </c>
      <c r="H1170" s="6">
        <f t="shared" si="18"/>
        <v>4254.63</v>
      </c>
    </row>
    <row r="1171" spans="1:8" x14ac:dyDescent="0.2">
      <c r="A1171" s="2" t="s">
        <v>1238</v>
      </c>
      <c r="B1171" s="2" t="s">
        <v>1146</v>
      </c>
      <c r="C1171" s="2" t="s">
        <v>78</v>
      </c>
      <c r="D1171" s="3">
        <v>3263</v>
      </c>
      <c r="E1171" s="4" t="s">
        <v>38</v>
      </c>
      <c r="F1171" s="5">
        <v>2.4900000000000002</v>
      </c>
      <c r="G1171" s="4" t="s">
        <v>39</v>
      </c>
      <c r="H1171" s="6">
        <f t="shared" si="18"/>
        <v>8124.8700000000008</v>
      </c>
    </row>
    <row r="1172" spans="1:8" x14ac:dyDescent="0.2">
      <c r="A1172" s="2" t="s">
        <v>1239</v>
      </c>
      <c r="B1172" s="2" t="s">
        <v>1146</v>
      </c>
      <c r="C1172" s="2" t="s">
        <v>33</v>
      </c>
      <c r="D1172" s="3">
        <v>4200</v>
      </c>
      <c r="E1172" s="4" t="s">
        <v>34</v>
      </c>
      <c r="F1172" s="5">
        <v>6</v>
      </c>
      <c r="G1172" s="4" t="s">
        <v>35</v>
      </c>
      <c r="H1172" s="6">
        <f t="shared" si="18"/>
        <v>25200</v>
      </c>
    </row>
    <row r="1173" spans="1:8" x14ac:dyDescent="0.2">
      <c r="A1173" s="2" t="s">
        <v>1240</v>
      </c>
      <c r="B1173" s="2" t="s">
        <v>1146</v>
      </c>
      <c r="C1173" s="2" t="s">
        <v>19</v>
      </c>
      <c r="D1173" s="3">
        <v>4609</v>
      </c>
      <c r="E1173" s="4" t="s">
        <v>20</v>
      </c>
      <c r="F1173" s="5">
        <v>1.49</v>
      </c>
      <c r="G1173" s="4" t="s">
        <v>21</v>
      </c>
      <c r="H1173" s="6">
        <f t="shared" si="18"/>
        <v>6867.41</v>
      </c>
    </row>
    <row r="1174" spans="1:8" x14ac:dyDescent="0.2">
      <c r="A1174" s="2" t="s">
        <v>1241</v>
      </c>
      <c r="B1174" s="2" t="s">
        <v>1146</v>
      </c>
      <c r="C1174" s="2" t="s">
        <v>147</v>
      </c>
      <c r="D1174" s="3">
        <v>2325</v>
      </c>
      <c r="E1174" s="4" t="s">
        <v>53</v>
      </c>
      <c r="F1174" s="5">
        <v>10.39</v>
      </c>
      <c r="G1174" s="4" t="s">
        <v>54</v>
      </c>
      <c r="H1174" s="6">
        <f t="shared" si="18"/>
        <v>24156.75</v>
      </c>
    </row>
    <row r="1175" spans="1:8" x14ac:dyDescent="0.2">
      <c r="A1175" s="2" t="s">
        <v>1242</v>
      </c>
      <c r="B1175" s="2" t="s">
        <v>1146</v>
      </c>
      <c r="C1175" s="2" t="s">
        <v>50</v>
      </c>
      <c r="D1175" s="3">
        <v>3956</v>
      </c>
      <c r="E1175" s="4" t="s">
        <v>20</v>
      </c>
      <c r="F1175" s="5">
        <v>0.74</v>
      </c>
      <c r="G1175" s="4" t="s">
        <v>21</v>
      </c>
      <c r="H1175" s="6">
        <f t="shared" si="18"/>
        <v>2927.44</v>
      </c>
    </row>
    <row r="1176" spans="1:8" x14ac:dyDescent="0.2">
      <c r="A1176" s="2" t="s">
        <v>1243</v>
      </c>
      <c r="B1176" s="2" t="s">
        <v>1146</v>
      </c>
      <c r="C1176" s="2" t="s">
        <v>86</v>
      </c>
      <c r="D1176" s="3">
        <v>2673</v>
      </c>
      <c r="E1176" s="4" t="s">
        <v>72</v>
      </c>
      <c r="F1176" s="5">
        <v>9006.09</v>
      </c>
      <c r="G1176" s="4" t="s">
        <v>73</v>
      </c>
      <c r="H1176" s="6">
        <f t="shared" si="18"/>
        <v>24073278.57</v>
      </c>
    </row>
    <row r="1177" spans="1:8" x14ac:dyDescent="0.2">
      <c r="A1177" s="2" t="s">
        <v>1244</v>
      </c>
      <c r="B1177" s="2" t="s">
        <v>1146</v>
      </c>
      <c r="C1177" s="2" t="s">
        <v>86</v>
      </c>
      <c r="D1177" s="3">
        <v>2457</v>
      </c>
      <c r="E1177" s="4" t="s">
        <v>72</v>
      </c>
      <c r="F1177" s="5">
        <v>8063.7</v>
      </c>
      <c r="G1177" s="4" t="s">
        <v>73</v>
      </c>
      <c r="H1177" s="6">
        <f t="shared" si="18"/>
        <v>19812510.899999999</v>
      </c>
    </row>
    <row r="1178" spans="1:8" x14ac:dyDescent="0.2">
      <c r="A1178" s="2" t="s">
        <v>1245</v>
      </c>
      <c r="B1178" s="2" t="s">
        <v>1146</v>
      </c>
      <c r="C1178" s="2" t="s">
        <v>78</v>
      </c>
      <c r="D1178" s="3">
        <v>1978</v>
      </c>
      <c r="E1178" s="4" t="s">
        <v>38</v>
      </c>
      <c r="F1178" s="5">
        <v>3.03</v>
      </c>
      <c r="G1178" s="4" t="s">
        <v>39</v>
      </c>
      <c r="H1178" s="6">
        <f t="shared" si="18"/>
        <v>5993.3399999999992</v>
      </c>
    </row>
    <row r="1179" spans="1:8" x14ac:dyDescent="0.2">
      <c r="A1179" s="2" t="s">
        <v>1246</v>
      </c>
      <c r="B1179" s="2" t="s">
        <v>1146</v>
      </c>
      <c r="C1179" s="2" t="s">
        <v>147</v>
      </c>
      <c r="D1179" s="3">
        <v>3320</v>
      </c>
      <c r="E1179" s="4" t="s">
        <v>53</v>
      </c>
      <c r="F1179" s="5">
        <v>13.28</v>
      </c>
      <c r="G1179" s="4" t="s">
        <v>54</v>
      </c>
      <c r="H1179" s="6">
        <f t="shared" si="18"/>
        <v>44089.599999999999</v>
      </c>
    </row>
    <row r="1180" spans="1:8" x14ac:dyDescent="0.2">
      <c r="A1180" s="2" t="s">
        <v>1247</v>
      </c>
      <c r="B1180" s="2" t="s">
        <v>1146</v>
      </c>
      <c r="C1180" s="2" t="s">
        <v>89</v>
      </c>
      <c r="D1180" s="3">
        <v>218</v>
      </c>
      <c r="E1180" s="4" t="s">
        <v>30</v>
      </c>
      <c r="F1180" s="5">
        <v>2.59</v>
      </c>
      <c r="G1180" s="4" t="s">
        <v>31</v>
      </c>
      <c r="H1180" s="6">
        <f t="shared" si="18"/>
        <v>564.62</v>
      </c>
    </row>
    <row r="1181" spans="1:8" x14ac:dyDescent="0.2">
      <c r="A1181" s="2" t="s">
        <v>1248</v>
      </c>
      <c r="B1181" s="2" t="s">
        <v>1146</v>
      </c>
      <c r="C1181" s="2" t="s">
        <v>71</v>
      </c>
      <c r="D1181" s="3">
        <v>2135</v>
      </c>
      <c r="E1181" s="4" t="s">
        <v>72</v>
      </c>
      <c r="F1181" s="5">
        <v>2944.15</v>
      </c>
      <c r="G1181" s="4" t="s">
        <v>73</v>
      </c>
      <c r="H1181" s="6">
        <f t="shared" si="18"/>
        <v>6285760.25</v>
      </c>
    </row>
    <row r="1182" spans="1:8" x14ac:dyDescent="0.2">
      <c r="A1182" s="2" t="s">
        <v>1249</v>
      </c>
      <c r="B1182" s="2" t="s">
        <v>1146</v>
      </c>
      <c r="C1182" s="2" t="s">
        <v>67</v>
      </c>
      <c r="D1182" s="3">
        <v>3190</v>
      </c>
      <c r="E1182" s="4" t="s">
        <v>24</v>
      </c>
      <c r="F1182" s="5">
        <v>0.52</v>
      </c>
      <c r="G1182" s="4" t="s">
        <v>25</v>
      </c>
      <c r="H1182" s="6">
        <f t="shared" si="18"/>
        <v>1658.8</v>
      </c>
    </row>
    <row r="1183" spans="1:8" x14ac:dyDescent="0.2">
      <c r="A1183" s="2" t="s">
        <v>1250</v>
      </c>
      <c r="B1183" s="2" t="s">
        <v>1146</v>
      </c>
      <c r="C1183" s="2" t="s">
        <v>46</v>
      </c>
      <c r="D1183" s="3">
        <v>4696</v>
      </c>
      <c r="E1183" s="4" t="s">
        <v>20</v>
      </c>
      <c r="F1183" s="5">
        <v>3.63</v>
      </c>
      <c r="G1183" s="4" t="s">
        <v>21</v>
      </c>
      <c r="H1183" s="6">
        <f t="shared" si="18"/>
        <v>17046.48</v>
      </c>
    </row>
    <row r="1184" spans="1:8" x14ac:dyDescent="0.2">
      <c r="A1184" s="2" t="s">
        <v>1251</v>
      </c>
      <c r="B1184" s="2" t="s">
        <v>1146</v>
      </c>
      <c r="C1184" s="2" t="s">
        <v>57</v>
      </c>
      <c r="D1184" s="3">
        <v>1831</v>
      </c>
      <c r="E1184" s="4" t="s">
        <v>20</v>
      </c>
      <c r="F1184" s="5">
        <v>0.87</v>
      </c>
      <c r="G1184" s="4" t="s">
        <v>21</v>
      </c>
      <c r="H1184" s="6">
        <f t="shared" si="18"/>
        <v>1592.97</v>
      </c>
    </row>
    <row r="1185" spans="1:8" x14ac:dyDescent="0.2">
      <c r="A1185" s="2" t="s">
        <v>1252</v>
      </c>
      <c r="B1185" s="2" t="s">
        <v>1146</v>
      </c>
      <c r="C1185" s="2" t="s">
        <v>48</v>
      </c>
      <c r="D1185" s="3">
        <v>2946</v>
      </c>
      <c r="E1185" s="4" t="s">
        <v>24</v>
      </c>
      <c r="F1185" s="5">
        <v>0.13</v>
      </c>
      <c r="G1185" s="4" t="s">
        <v>25</v>
      </c>
      <c r="H1185" s="6">
        <f t="shared" si="18"/>
        <v>382.98</v>
      </c>
    </row>
    <row r="1186" spans="1:8" x14ac:dyDescent="0.2">
      <c r="A1186" s="2" t="s">
        <v>1253</v>
      </c>
      <c r="B1186" s="2" t="s">
        <v>1146</v>
      </c>
      <c r="C1186" s="2" t="s">
        <v>118</v>
      </c>
      <c r="D1186" s="3">
        <v>4583</v>
      </c>
      <c r="E1186" s="4" t="s">
        <v>24</v>
      </c>
      <c r="F1186" s="5">
        <v>0.53</v>
      </c>
      <c r="G1186" s="4" t="s">
        <v>25</v>
      </c>
      <c r="H1186" s="6">
        <f t="shared" si="18"/>
        <v>2428.9900000000002</v>
      </c>
    </row>
    <row r="1187" spans="1:8" x14ac:dyDescent="0.2">
      <c r="A1187" s="2" t="s">
        <v>1254</v>
      </c>
      <c r="B1187" s="2" t="s">
        <v>1146</v>
      </c>
      <c r="C1187" s="2" t="s">
        <v>50</v>
      </c>
      <c r="D1187" s="3">
        <v>3866</v>
      </c>
      <c r="E1187" s="4" t="s">
        <v>20</v>
      </c>
      <c r="F1187" s="5">
        <v>0.78</v>
      </c>
      <c r="G1187" s="4" t="s">
        <v>21</v>
      </c>
      <c r="H1187" s="6">
        <f t="shared" si="18"/>
        <v>3015.48</v>
      </c>
    </row>
    <row r="1188" spans="1:8" x14ac:dyDescent="0.2">
      <c r="A1188" s="2" t="s">
        <v>1255</v>
      </c>
      <c r="B1188" s="2" t="s">
        <v>1146</v>
      </c>
      <c r="C1188" s="2" t="s">
        <v>86</v>
      </c>
      <c r="D1188" s="3">
        <v>4589</v>
      </c>
      <c r="E1188" s="4" t="s">
        <v>72</v>
      </c>
      <c r="F1188" s="5">
        <v>8868.09</v>
      </c>
      <c r="G1188" s="4" t="s">
        <v>73</v>
      </c>
      <c r="H1188" s="6">
        <f t="shared" si="18"/>
        <v>40695665.009999998</v>
      </c>
    </row>
    <row r="1189" spans="1:8" x14ac:dyDescent="0.2">
      <c r="A1189" s="2" t="s">
        <v>1256</v>
      </c>
      <c r="B1189" s="2" t="s">
        <v>1146</v>
      </c>
      <c r="C1189" s="2" t="s">
        <v>118</v>
      </c>
      <c r="D1189" s="3">
        <v>2759</v>
      </c>
      <c r="E1189" s="4" t="s">
        <v>24</v>
      </c>
      <c r="F1189" s="5">
        <v>0.86</v>
      </c>
      <c r="G1189" s="4" t="s">
        <v>25</v>
      </c>
      <c r="H1189" s="6">
        <f t="shared" si="18"/>
        <v>2372.7399999999998</v>
      </c>
    </row>
    <row r="1190" spans="1:8" x14ac:dyDescent="0.2">
      <c r="A1190" s="2" t="s">
        <v>1257</v>
      </c>
      <c r="B1190" s="2" t="s">
        <v>1146</v>
      </c>
      <c r="C1190" s="2" t="s">
        <v>42</v>
      </c>
      <c r="D1190" s="3">
        <v>2920</v>
      </c>
      <c r="E1190" s="4" t="s">
        <v>24</v>
      </c>
      <c r="F1190" s="5">
        <v>4.17</v>
      </c>
      <c r="G1190" s="4" t="s">
        <v>25</v>
      </c>
      <c r="H1190" s="6">
        <f t="shared" si="18"/>
        <v>12176.4</v>
      </c>
    </row>
    <row r="1191" spans="1:8" x14ac:dyDescent="0.2">
      <c r="A1191" s="2" t="s">
        <v>1258</v>
      </c>
      <c r="B1191" s="2" t="s">
        <v>1146</v>
      </c>
      <c r="C1191" s="2" t="s">
        <v>71</v>
      </c>
      <c r="D1191" s="3">
        <v>3454</v>
      </c>
      <c r="E1191" s="4" t="s">
        <v>72</v>
      </c>
      <c r="F1191" s="5">
        <v>2872.85</v>
      </c>
      <c r="G1191" s="4" t="s">
        <v>73</v>
      </c>
      <c r="H1191" s="6">
        <f t="shared" si="18"/>
        <v>9922823.9000000004</v>
      </c>
    </row>
    <row r="1192" spans="1:8" x14ac:dyDescent="0.2">
      <c r="A1192" s="2" t="s">
        <v>1259</v>
      </c>
      <c r="B1192" s="2" t="s">
        <v>1146</v>
      </c>
      <c r="C1192" s="2" t="s">
        <v>57</v>
      </c>
      <c r="D1192" s="3">
        <v>3054</v>
      </c>
      <c r="E1192" s="4" t="s">
        <v>20</v>
      </c>
      <c r="F1192" s="5">
        <v>0.7</v>
      </c>
      <c r="G1192" s="4" t="s">
        <v>21</v>
      </c>
      <c r="H1192" s="6">
        <f t="shared" si="18"/>
        <v>2137.7999999999997</v>
      </c>
    </row>
    <row r="1193" spans="1:8" x14ac:dyDescent="0.2">
      <c r="A1193" s="2" t="s">
        <v>1260</v>
      </c>
      <c r="B1193" s="2" t="s">
        <v>1146</v>
      </c>
      <c r="C1193" s="2" t="s">
        <v>71</v>
      </c>
      <c r="D1193" s="3">
        <v>3809</v>
      </c>
      <c r="E1193" s="4" t="s">
        <v>72</v>
      </c>
      <c r="F1193" s="5">
        <v>2910.73</v>
      </c>
      <c r="G1193" s="4" t="s">
        <v>73</v>
      </c>
      <c r="H1193" s="6">
        <f t="shared" si="18"/>
        <v>11086970.57</v>
      </c>
    </row>
    <row r="1194" spans="1:8" x14ac:dyDescent="0.2">
      <c r="A1194" s="2" t="s">
        <v>1261</v>
      </c>
      <c r="B1194" s="2" t="s">
        <v>1146</v>
      </c>
      <c r="C1194" s="2" t="s">
        <v>48</v>
      </c>
      <c r="D1194" s="3">
        <v>449</v>
      </c>
      <c r="E1194" s="4" t="s">
        <v>24</v>
      </c>
      <c r="F1194" s="5">
        <v>0.18</v>
      </c>
      <c r="G1194" s="4" t="s">
        <v>25</v>
      </c>
      <c r="H1194" s="6">
        <f t="shared" si="18"/>
        <v>80.819999999999993</v>
      </c>
    </row>
    <row r="1195" spans="1:8" x14ac:dyDescent="0.2">
      <c r="A1195" s="2" t="s">
        <v>1262</v>
      </c>
      <c r="B1195" s="2" t="s">
        <v>1146</v>
      </c>
      <c r="C1195" s="2" t="s">
        <v>46</v>
      </c>
      <c r="D1195" s="3">
        <v>4763</v>
      </c>
      <c r="E1195" s="4" t="s">
        <v>20</v>
      </c>
      <c r="F1195" s="5">
        <v>3.89</v>
      </c>
      <c r="G1195" s="4" t="s">
        <v>21</v>
      </c>
      <c r="H1195" s="6">
        <f t="shared" si="18"/>
        <v>18528.07</v>
      </c>
    </row>
    <row r="1196" spans="1:8" x14ac:dyDescent="0.2">
      <c r="A1196" s="2" t="s">
        <v>1263</v>
      </c>
      <c r="B1196" s="2" t="s">
        <v>1146</v>
      </c>
      <c r="C1196" s="2" t="s">
        <v>27</v>
      </c>
      <c r="D1196" s="3">
        <v>3878</v>
      </c>
      <c r="E1196" s="4" t="s">
        <v>20</v>
      </c>
      <c r="F1196" s="5">
        <v>2.27</v>
      </c>
      <c r="G1196" s="4" t="s">
        <v>21</v>
      </c>
      <c r="H1196" s="6">
        <f t="shared" si="18"/>
        <v>8803.06</v>
      </c>
    </row>
    <row r="1197" spans="1:8" x14ac:dyDescent="0.2">
      <c r="A1197" s="2" t="s">
        <v>1264</v>
      </c>
      <c r="B1197" s="2" t="s">
        <v>1146</v>
      </c>
      <c r="C1197" s="2" t="s">
        <v>78</v>
      </c>
      <c r="D1197" s="3">
        <v>991</v>
      </c>
      <c r="E1197" s="4" t="s">
        <v>38</v>
      </c>
      <c r="F1197" s="5">
        <v>2.97</v>
      </c>
      <c r="G1197" s="4" t="s">
        <v>39</v>
      </c>
      <c r="H1197" s="6">
        <f t="shared" si="18"/>
        <v>2943.27</v>
      </c>
    </row>
    <row r="1198" spans="1:8" x14ac:dyDescent="0.2">
      <c r="A1198" s="2" t="s">
        <v>1265</v>
      </c>
      <c r="B1198" s="2" t="s">
        <v>1146</v>
      </c>
      <c r="C1198" s="2" t="s">
        <v>67</v>
      </c>
      <c r="D1198" s="3">
        <v>4350</v>
      </c>
      <c r="E1198" s="4" t="s">
        <v>24</v>
      </c>
      <c r="F1198" s="5">
        <v>0.39</v>
      </c>
      <c r="G1198" s="4" t="s">
        <v>25</v>
      </c>
      <c r="H1198" s="6">
        <f t="shared" si="18"/>
        <v>1696.5</v>
      </c>
    </row>
    <row r="1199" spans="1:8" x14ac:dyDescent="0.2">
      <c r="A1199" s="2" t="s">
        <v>1266</v>
      </c>
      <c r="B1199" s="2" t="s">
        <v>1146</v>
      </c>
      <c r="C1199" s="2" t="s">
        <v>37</v>
      </c>
      <c r="D1199" s="3">
        <v>1245</v>
      </c>
      <c r="E1199" s="4" t="s">
        <v>38</v>
      </c>
      <c r="F1199" s="5">
        <v>2.41</v>
      </c>
      <c r="G1199" s="4" t="s">
        <v>39</v>
      </c>
      <c r="H1199" s="6">
        <f t="shared" si="18"/>
        <v>3000.4500000000003</v>
      </c>
    </row>
    <row r="1200" spans="1:8" x14ac:dyDescent="0.2">
      <c r="A1200" s="2" t="s">
        <v>1267</v>
      </c>
      <c r="B1200" s="2" t="s">
        <v>1146</v>
      </c>
      <c r="C1200" s="2" t="s">
        <v>44</v>
      </c>
      <c r="D1200" s="3">
        <v>2817</v>
      </c>
      <c r="E1200" s="4" t="s">
        <v>24</v>
      </c>
      <c r="F1200" s="5">
        <v>1.19</v>
      </c>
      <c r="G1200" s="4" t="s">
        <v>25</v>
      </c>
      <c r="H1200" s="6">
        <f t="shared" si="18"/>
        <v>3352.23</v>
      </c>
    </row>
    <row r="1201" spans="1:8" x14ac:dyDescent="0.2">
      <c r="A1201" s="2" t="s">
        <v>1268</v>
      </c>
      <c r="B1201" s="2" t="s">
        <v>1146</v>
      </c>
      <c r="C1201" s="2" t="s">
        <v>46</v>
      </c>
      <c r="D1201" s="3">
        <v>3758</v>
      </c>
      <c r="E1201" s="4" t="s">
        <v>20</v>
      </c>
      <c r="F1201" s="5">
        <v>2.29</v>
      </c>
      <c r="G1201" s="4" t="s">
        <v>21</v>
      </c>
      <c r="H1201" s="6">
        <f t="shared" si="18"/>
        <v>8605.82</v>
      </c>
    </row>
    <row r="1202" spans="1:8" x14ac:dyDescent="0.2">
      <c r="A1202" s="2" t="s">
        <v>1269</v>
      </c>
      <c r="B1202" s="2" t="s">
        <v>1146</v>
      </c>
      <c r="C1202" s="2" t="s">
        <v>118</v>
      </c>
      <c r="D1202" s="3">
        <v>672</v>
      </c>
      <c r="E1202" s="4" t="s">
        <v>24</v>
      </c>
      <c r="F1202" s="5">
        <v>0.74</v>
      </c>
      <c r="G1202" s="4" t="s">
        <v>25</v>
      </c>
      <c r="H1202" s="6">
        <f t="shared" si="18"/>
        <v>497.28</v>
      </c>
    </row>
    <row r="1203" spans="1:8" x14ac:dyDescent="0.2">
      <c r="A1203" s="2" t="s">
        <v>1270</v>
      </c>
      <c r="B1203" s="2" t="s">
        <v>1146</v>
      </c>
      <c r="C1203" s="2" t="s">
        <v>118</v>
      </c>
      <c r="D1203" s="3">
        <v>2577</v>
      </c>
      <c r="E1203" s="4" t="s">
        <v>24</v>
      </c>
      <c r="F1203" s="5">
        <v>0.84</v>
      </c>
      <c r="G1203" s="4" t="s">
        <v>25</v>
      </c>
      <c r="H1203" s="6">
        <f t="shared" si="18"/>
        <v>2164.6799999999998</v>
      </c>
    </row>
    <row r="1204" spans="1:8" x14ac:dyDescent="0.2">
      <c r="A1204" s="2" t="s">
        <v>1271</v>
      </c>
      <c r="B1204" s="2" t="s">
        <v>1146</v>
      </c>
      <c r="C1204" s="2" t="s">
        <v>33</v>
      </c>
      <c r="D1204" s="3">
        <v>3713</v>
      </c>
      <c r="E1204" s="4" t="s">
        <v>34</v>
      </c>
      <c r="F1204" s="5">
        <v>4.18</v>
      </c>
      <c r="G1204" s="4" t="s">
        <v>35</v>
      </c>
      <c r="H1204" s="6">
        <f t="shared" si="18"/>
        <v>15520.339999999998</v>
      </c>
    </row>
    <row r="1205" spans="1:8" x14ac:dyDescent="0.2">
      <c r="A1205" s="2" t="s">
        <v>1272</v>
      </c>
      <c r="B1205" s="2" t="s">
        <v>1146</v>
      </c>
      <c r="C1205" s="2" t="s">
        <v>118</v>
      </c>
      <c r="D1205" s="3">
        <v>4730</v>
      </c>
      <c r="E1205" s="4" t="s">
        <v>24</v>
      </c>
      <c r="F1205" s="5">
        <v>0.94</v>
      </c>
      <c r="G1205" s="4" t="s">
        <v>25</v>
      </c>
      <c r="H1205" s="6">
        <f t="shared" si="18"/>
        <v>4446.2</v>
      </c>
    </row>
    <row r="1206" spans="1:8" x14ac:dyDescent="0.2">
      <c r="A1206" s="2" t="s">
        <v>1273</v>
      </c>
      <c r="B1206" s="2" t="s">
        <v>1274</v>
      </c>
      <c r="C1206" s="2" t="s">
        <v>48</v>
      </c>
      <c r="D1206" s="3">
        <v>731</v>
      </c>
      <c r="E1206" s="4" t="s">
        <v>24</v>
      </c>
      <c r="F1206" s="5">
        <v>7.0000000000000007E-2</v>
      </c>
      <c r="G1206" s="4" t="s">
        <v>25</v>
      </c>
      <c r="H1206" s="6">
        <f t="shared" si="18"/>
        <v>51.17</v>
      </c>
    </row>
    <row r="1207" spans="1:8" x14ac:dyDescent="0.2">
      <c r="A1207" s="2" t="s">
        <v>1275</v>
      </c>
      <c r="B1207" s="2" t="s">
        <v>1274</v>
      </c>
      <c r="C1207" s="2" t="s">
        <v>52</v>
      </c>
      <c r="D1207" s="3">
        <v>3527</v>
      </c>
      <c r="E1207" s="4" t="s">
        <v>53</v>
      </c>
      <c r="F1207" s="5">
        <v>11.02</v>
      </c>
      <c r="G1207" s="4" t="s">
        <v>54</v>
      </c>
      <c r="H1207" s="6">
        <f t="shared" si="18"/>
        <v>38867.54</v>
      </c>
    </row>
    <row r="1208" spans="1:8" x14ac:dyDescent="0.2">
      <c r="A1208" s="2" t="s">
        <v>1276</v>
      </c>
      <c r="B1208" s="2" t="s">
        <v>1274</v>
      </c>
      <c r="C1208" s="2" t="s">
        <v>48</v>
      </c>
      <c r="D1208" s="3">
        <v>3150</v>
      </c>
      <c r="E1208" s="4" t="s">
        <v>24</v>
      </c>
      <c r="F1208" s="5">
        <v>0.05</v>
      </c>
      <c r="G1208" s="4" t="s">
        <v>25</v>
      </c>
      <c r="H1208" s="6">
        <f t="shared" si="18"/>
        <v>157.5</v>
      </c>
    </row>
    <row r="1209" spans="1:8" x14ac:dyDescent="0.2">
      <c r="A1209" s="2" t="s">
        <v>1277</v>
      </c>
      <c r="B1209" s="2" t="s">
        <v>1274</v>
      </c>
      <c r="C1209" s="2" t="s">
        <v>29</v>
      </c>
      <c r="D1209" s="3">
        <v>1643</v>
      </c>
      <c r="E1209" s="4" t="s">
        <v>30</v>
      </c>
      <c r="F1209" s="5">
        <v>1.88</v>
      </c>
      <c r="G1209" s="4" t="s">
        <v>31</v>
      </c>
      <c r="H1209" s="6">
        <f t="shared" si="18"/>
        <v>3088.8399999999997</v>
      </c>
    </row>
    <row r="1210" spans="1:8" x14ac:dyDescent="0.2">
      <c r="A1210" s="2" t="s">
        <v>1278</v>
      </c>
      <c r="B1210" s="2" t="s">
        <v>1274</v>
      </c>
      <c r="C1210" s="2" t="s">
        <v>33</v>
      </c>
      <c r="D1210" s="3">
        <v>2649</v>
      </c>
      <c r="E1210" s="4" t="s">
        <v>34</v>
      </c>
      <c r="F1210" s="5">
        <v>5.39</v>
      </c>
      <c r="G1210" s="4" t="s">
        <v>35</v>
      </c>
      <c r="H1210" s="6">
        <f t="shared" si="18"/>
        <v>14278.109999999999</v>
      </c>
    </row>
    <row r="1211" spans="1:8" x14ac:dyDescent="0.2">
      <c r="A1211" s="2" t="s">
        <v>1279</v>
      </c>
      <c r="B1211" s="2" t="s">
        <v>1274</v>
      </c>
      <c r="C1211" s="2" t="s">
        <v>78</v>
      </c>
      <c r="D1211" s="3">
        <v>1571</v>
      </c>
      <c r="E1211" s="4" t="s">
        <v>38</v>
      </c>
      <c r="F1211" s="5">
        <v>1.53</v>
      </c>
      <c r="G1211" s="4" t="s">
        <v>39</v>
      </c>
      <c r="H1211" s="6">
        <f t="shared" si="18"/>
        <v>2403.63</v>
      </c>
    </row>
    <row r="1212" spans="1:8" x14ac:dyDescent="0.2">
      <c r="A1212" s="2" t="s">
        <v>1280</v>
      </c>
      <c r="B1212" s="2" t="s">
        <v>1274</v>
      </c>
      <c r="C1212" s="2" t="s">
        <v>33</v>
      </c>
      <c r="D1212" s="3">
        <v>2048</v>
      </c>
      <c r="E1212" s="4" t="s">
        <v>34</v>
      </c>
      <c r="F1212" s="5">
        <v>4.07</v>
      </c>
      <c r="G1212" s="4" t="s">
        <v>35</v>
      </c>
      <c r="H1212" s="6">
        <f t="shared" si="18"/>
        <v>8335.36</v>
      </c>
    </row>
    <row r="1213" spans="1:8" x14ac:dyDescent="0.2">
      <c r="A1213" s="2" t="s">
        <v>1281</v>
      </c>
      <c r="B1213" s="2" t="s">
        <v>1274</v>
      </c>
      <c r="C1213" s="2" t="s">
        <v>19</v>
      </c>
      <c r="D1213" s="3">
        <v>2566</v>
      </c>
      <c r="E1213" s="4" t="s">
        <v>20</v>
      </c>
      <c r="F1213" s="5">
        <v>1.18</v>
      </c>
      <c r="G1213" s="4" t="s">
        <v>21</v>
      </c>
      <c r="H1213" s="6">
        <f t="shared" si="18"/>
        <v>3027.8799999999997</v>
      </c>
    </row>
    <row r="1214" spans="1:8" x14ac:dyDescent="0.2">
      <c r="A1214" s="2" t="s">
        <v>1282</v>
      </c>
      <c r="B1214" s="2" t="s">
        <v>1274</v>
      </c>
      <c r="C1214" s="2" t="s">
        <v>67</v>
      </c>
      <c r="D1214" s="3">
        <v>4133</v>
      </c>
      <c r="E1214" s="4" t="s">
        <v>24</v>
      </c>
      <c r="F1214" s="5">
        <v>0.48</v>
      </c>
      <c r="G1214" s="4" t="s">
        <v>25</v>
      </c>
      <c r="H1214" s="6">
        <f t="shared" si="18"/>
        <v>1983.84</v>
      </c>
    </row>
    <row r="1215" spans="1:8" x14ac:dyDescent="0.2">
      <c r="A1215" s="2" t="s">
        <v>1283</v>
      </c>
      <c r="B1215" s="2" t="s">
        <v>1274</v>
      </c>
      <c r="C1215" s="2" t="s">
        <v>118</v>
      </c>
      <c r="D1215" s="3">
        <v>544</v>
      </c>
      <c r="E1215" s="4" t="s">
        <v>24</v>
      </c>
      <c r="F1215" s="5">
        <v>0.98</v>
      </c>
      <c r="G1215" s="4" t="s">
        <v>25</v>
      </c>
      <c r="H1215" s="6">
        <f t="shared" si="18"/>
        <v>533.12</v>
      </c>
    </row>
    <row r="1216" spans="1:8" x14ac:dyDescent="0.2">
      <c r="A1216" s="2" t="s">
        <v>1284</v>
      </c>
      <c r="B1216" s="2" t="s">
        <v>1274</v>
      </c>
      <c r="C1216" s="2" t="s">
        <v>71</v>
      </c>
      <c r="D1216" s="3">
        <v>2392</v>
      </c>
      <c r="E1216" s="4" t="s">
        <v>72</v>
      </c>
      <c r="F1216" s="5">
        <v>2673.56</v>
      </c>
      <c r="G1216" s="4" t="s">
        <v>73</v>
      </c>
      <c r="H1216" s="6">
        <f t="shared" si="18"/>
        <v>6395155.5199999996</v>
      </c>
    </row>
    <row r="1217" spans="1:8" x14ac:dyDescent="0.2">
      <c r="A1217" s="2" t="s">
        <v>1285</v>
      </c>
      <c r="B1217" s="2" t="s">
        <v>1274</v>
      </c>
      <c r="C1217" s="2" t="s">
        <v>78</v>
      </c>
      <c r="D1217" s="3">
        <v>4895</v>
      </c>
      <c r="E1217" s="4" t="s">
        <v>38</v>
      </c>
      <c r="F1217" s="5">
        <v>2.39</v>
      </c>
      <c r="G1217" s="4" t="s">
        <v>39</v>
      </c>
      <c r="H1217" s="6">
        <f t="shared" si="18"/>
        <v>11699.050000000001</v>
      </c>
    </row>
    <row r="1218" spans="1:8" x14ac:dyDescent="0.2">
      <c r="A1218" s="2" t="s">
        <v>1286</v>
      </c>
      <c r="B1218" s="2" t="s">
        <v>1274</v>
      </c>
      <c r="C1218" s="2" t="s">
        <v>52</v>
      </c>
      <c r="D1218" s="3">
        <v>1106</v>
      </c>
      <c r="E1218" s="4" t="s">
        <v>53</v>
      </c>
      <c r="F1218" s="5">
        <v>10.71</v>
      </c>
      <c r="G1218" s="4" t="s">
        <v>54</v>
      </c>
      <c r="H1218" s="6">
        <f t="shared" ref="H1218:H1281" si="19">D1218*F1218</f>
        <v>11845.26</v>
      </c>
    </row>
    <row r="1219" spans="1:8" x14ac:dyDescent="0.2">
      <c r="A1219" s="2" t="s">
        <v>1287</v>
      </c>
      <c r="B1219" s="2" t="s">
        <v>1274</v>
      </c>
      <c r="C1219" s="2" t="s">
        <v>48</v>
      </c>
      <c r="D1219" s="3">
        <v>2952</v>
      </c>
      <c r="E1219" s="4" t="s">
        <v>24</v>
      </c>
      <c r="F1219" s="5">
        <v>0.16</v>
      </c>
      <c r="G1219" s="4" t="s">
        <v>25</v>
      </c>
      <c r="H1219" s="6">
        <f t="shared" si="19"/>
        <v>472.32</v>
      </c>
    </row>
    <row r="1220" spans="1:8" x14ac:dyDescent="0.2">
      <c r="A1220" s="2" t="s">
        <v>1288</v>
      </c>
      <c r="B1220" s="2" t="s">
        <v>1274</v>
      </c>
      <c r="C1220" s="2" t="s">
        <v>118</v>
      </c>
      <c r="D1220" s="3">
        <v>3314</v>
      </c>
      <c r="E1220" s="4" t="s">
        <v>24</v>
      </c>
      <c r="F1220" s="5">
        <v>0.41</v>
      </c>
      <c r="G1220" s="4" t="s">
        <v>25</v>
      </c>
      <c r="H1220" s="6">
        <f t="shared" si="19"/>
        <v>1358.74</v>
      </c>
    </row>
    <row r="1221" spans="1:8" x14ac:dyDescent="0.2">
      <c r="A1221" s="2" t="s">
        <v>1289</v>
      </c>
      <c r="B1221" s="2" t="s">
        <v>1274</v>
      </c>
      <c r="C1221" s="2" t="s">
        <v>42</v>
      </c>
      <c r="D1221" s="3">
        <v>1084</v>
      </c>
      <c r="E1221" s="4" t="s">
        <v>24</v>
      </c>
      <c r="F1221" s="5">
        <v>4.13</v>
      </c>
      <c r="G1221" s="4" t="s">
        <v>25</v>
      </c>
      <c r="H1221" s="6">
        <f t="shared" si="19"/>
        <v>4476.92</v>
      </c>
    </row>
    <row r="1222" spans="1:8" x14ac:dyDescent="0.2">
      <c r="A1222" s="2" t="s">
        <v>1290</v>
      </c>
      <c r="B1222" s="2" t="s">
        <v>1274</v>
      </c>
      <c r="C1222" s="2" t="s">
        <v>33</v>
      </c>
      <c r="D1222" s="3">
        <v>4840</v>
      </c>
      <c r="E1222" s="4" t="s">
        <v>34</v>
      </c>
      <c r="F1222" s="5">
        <v>4.76</v>
      </c>
      <c r="G1222" s="4" t="s">
        <v>35</v>
      </c>
      <c r="H1222" s="6">
        <f t="shared" si="19"/>
        <v>23038.399999999998</v>
      </c>
    </row>
    <row r="1223" spans="1:8" x14ac:dyDescent="0.2">
      <c r="A1223" s="2" t="s">
        <v>1291</v>
      </c>
      <c r="B1223" s="2" t="s">
        <v>1274</v>
      </c>
      <c r="C1223" s="2" t="s">
        <v>50</v>
      </c>
      <c r="D1223" s="3">
        <v>3013</v>
      </c>
      <c r="E1223" s="4" t="s">
        <v>20</v>
      </c>
      <c r="F1223" s="5">
        <v>1.1299999999999999</v>
      </c>
      <c r="G1223" s="4" t="s">
        <v>21</v>
      </c>
      <c r="H1223" s="6">
        <f t="shared" si="19"/>
        <v>3404.6899999999996</v>
      </c>
    </row>
    <row r="1224" spans="1:8" x14ac:dyDescent="0.2">
      <c r="A1224" s="2" t="s">
        <v>1292</v>
      </c>
      <c r="B1224" s="2" t="s">
        <v>1274</v>
      </c>
      <c r="C1224" s="2" t="s">
        <v>37</v>
      </c>
      <c r="D1224" s="3">
        <v>3083</v>
      </c>
      <c r="E1224" s="4" t="s">
        <v>38</v>
      </c>
      <c r="F1224" s="5">
        <v>4.63</v>
      </c>
      <c r="G1224" s="4" t="s">
        <v>39</v>
      </c>
      <c r="H1224" s="6">
        <f t="shared" si="19"/>
        <v>14274.289999999999</v>
      </c>
    </row>
    <row r="1225" spans="1:8" x14ac:dyDescent="0.2">
      <c r="A1225" s="2" t="s">
        <v>1293</v>
      </c>
      <c r="B1225" s="2" t="s">
        <v>1274</v>
      </c>
      <c r="C1225" s="2" t="s">
        <v>86</v>
      </c>
      <c r="D1225" s="3">
        <v>4390</v>
      </c>
      <c r="E1225" s="4" t="s">
        <v>72</v>
      </c>
      <c r="F1225" s="5">
        <v>8672.39</v>
      </c>
      <c r="G1225" s="4" t="s">
        <v>73</v>
      </c>
      <c r="H1225" s="6">
        <f t="shared" si="19"/>
        <v>38071792.099999994</v>
      </c>
    </row>
    <row r="1226" spans="1:8" x14ac:dyDescent="0.2">
      <c r="A1226" s="2" t="s">
        <v>1294</v>
      </c>
      <c r="B1226" s="2" t="s">
        <v>1274</v>
      </c>
      <c r="C1226" s="2" t="s">
        <v>147</v>
      </c>
      <c r="D1226" s="3">
        <v>402</v>
      </c>
      <c r="E1226" s="4" t="s">
        <v>53</v>
      </c>
      <c r="F1226" s="5">
        <v>13.3</v>
      </c>
      <c r="G1226" s="4" t="s">
        <v>54</v>
      </c>
      <c r="H1226" s="6">
        <f t="shared" si="19"/>
        <v>5346.6</v>
      </c>
    </row>
    <row r="1227" spans="1:8" x14ac:dyDescent="0.2">
      <c r="A1227" s="2" t="s">
        <v>1295</v>
      </c>
      <c r="B1227" s="2" t="s">
        <v>1274</v>
      </c>
      <c r="C1227" s="2" t="s">
        <v>33</v>
      </c>
      <c r="D1227" s="3">
        <v>405</v>
      </c>
      <c r="E1227" s="4" t="s">
        <v>34</v>
      </c>
      <c r="F1227" s="5">
        <v>5.22</v>
      </c>
      <c r="G1227" s="4" t="s">
        <v>35</v>
      </c>
      <c r="H1227" s="6">
        <f t="shared" si="19"/>
        <v>2114.1</v>
      </c>
    </row>
    <row r="1228" spans="1:8" x14ac:dyDescent="0.2">
      <c r="A1228" s="2" t="s">
        <v>1296</v>
      </c>
      <c r="B1228" s="2" t="s">
        <v>1274</v>
      </c>
      <c r="C1228" s="2" t="s">
        <v>52</v>
      </c>
      <c r="D1228" s="3">
        <v>3649</v>
      </c>
      <c r="E1228" s="4" t="s">
        <v>53</v>
      </c>
      <c r="F1228" s="5">
        <v>10.9</v>
      </c>
      <c r="G1228" s="4" t="s">
        <v>54</v>
      </c>
      <c r="H1228" s="6">
        <f t="shared" si="19"/>
        <v>39774.1</v>
      </c>
    </row>
    <row r="1229" spans="1:8" x14ac:dyDescent="0.2">
      <c r="A1229" s="2" t="s">
        <v>1297</v>
      </c>
      <c r="B1229" s="2" t="s">
        <v>1274</v>
      </c>
      <c r="C1229" s="2" t="s">
        <v>29</v>
      </c>
      <c r="D1229" s="3">
        <v>2080</v>
      </c>
      <c r="E1229" s="4" t="s">
        <v>30</v>
      </c>
      <c r="F1229" s="5">
        <v>1.57</v>
      </c>
      <c r="G1229" s="4" t="s">
        <v>31</v>
      </c>
      <c r="H1229" s="6">
        <f t="shared" si="19"/>
        <v>3265.6</v>
      </c>
    </row>
    <row r="1230" spans="1:8" x14ac:dyDescent="0.2">
      <c r="A1230" s="2" t="s">
        <v>1298</v>
      </c>
      <c r="B1230" s="2" t="s">
        <v>1274</v>
      </c>
      <c r="C1230" s="2" t="s">
        <v>89</v>
      </c>
      <c r="D1230" s="3">
        <v>1693</v>
      </c>
      <c r="E1230" s="4" t="s">
        <v>30</v>
      </c>
      <c r="F1230" s="5">
        <v>2.63</v>
      </c>
      <c r="G1230" s="4" t="s">
        <v>31</v>
      </c>
      <c r="H1230" s="6">
        <f t="shared" si="19"/>
        <v>4452.59</v>
      </c>
    </row>
    <row r="1231" spans="1:8" x14ac:dyDescent="0.2">
      <c r="A1231" s="2" t="s">
        <v>1299</v>
      </c>
      <c r="B1231" s="2" t="s">
        <v>1274</v>
      </c>
      <c r="C1231" s="2" t="s">
        <v>33</v>
      </c>
      <c r="D1231" s="3">
        <v>2476</v>
      </c>
      <c r="E1231" s="4" t="s">
        <v>34</v>
      </c>
      <c r="F1231" s="5">
        <v>4.55</v>
      </c>
      <c r="G1231" s="4" t="s">
        <v>35</v>
      </c>
      <c r="H1231" s="6">
        <f t="shared" si="19"/>
        <v>11265.8</v>
      </c>
    </row>
    <row r="1232" spans="1:8" x14ac:dyDescent="0.2">
      <c r="A1232" s="2" t="s">
        <v>1300</v>
      </c>
      <c r="B1232" s="2" t="s">
        <v>1274</v>
      </c>
      <c r="C1232" s="2" t="s">
        <v>50</v>
      </c>
      <c r="D1232" s="3">
        <v>4272</v>
      </c>
      <c r="E1232" s="4" t="s">
        <v>20</v>
      </c>
      <c r="F1232" s="5">
        <v>0.86</v>
      </c>
      <c r="G1232" s="4" t="s">
        <v>21</v>
      </c>
      <c r="H1232" s="6">
        <f t="shared" si="19"/>
        <v>3673.92</v>
      </c>
    </row>
    <row r="1233" spans="1:8" x14ac:dyDescent="0.2">
      <c r="A1233" s="2" t="s">
        <v>1301</v>
      </c>
      <c r="B1233" s="2" t="s">
        <v>1274</v>
      </c>
      <c r="C1233" s="2" t="s">
        <v>147</v>
      </c>
      <c r="D1233" s="3">
        <v>1133</v>
      </c>
      <c r="E1233" s="4" t="s">
        <v>53</v>
      </c>
      <c r="F1233" s="5">
        <v>11.35</v>
      </c>
      <c r="G1233" s="4" t="s">
        <v>54</v>
      </c>
      <c r="H1233" s="6">
        <f t="shared" si="19"/>
        <v>12859.55</v>
      </c>
    </row>
    <row r="1234" spans="1:8" x14ac:dyDescent="0.2">
      <c r="A1234" s="2" t="s">
        <v>1302</v>
      </c>
      <c r="B1234" s="2" t="s">
        <v>1274</v>
      </c>
      <c r="C1234" s="2" t="s">
        <v>50</v>
      </c>
      <c r="D1234" s="3">
        <v>4200</v>
      </c>
      <c r="E1234" s="4" t="s">
        <v>20</v>
      </c>
      <c r="F1234" s="5">
        <v>1.1299999999999999</v>
      </c>
      <c r="G1234" s="4" t="s">
        <v>21</v>
      </c>
      <c r="H1234" s="6">
        <f t="shared" si="19"/>
        <v>4746</v>
      </c>
    </row>
    <row r="1235" spans="1:8" x14ac:dyDescent="0.2">
      <c r="A1235" s="2" t="s">
        <v>1303</v>
      </c>
      <c r="B1235" s="2" t="s">
        <v>1274</v>
      </c>
      <c r="C1235" s="2" t="s">
        <v>50</v>
      </c>
      <c r="D1235" s="3">
        <v>2325</v>
      </c>
      <c r="E1235" s="4" t="s">
        <v>20</v>
      </c>
      <c r="F1235" s="5">
        <v>0.77</v>
      </c>
      <c r="G1235" s="4" t="s">
        <v>21</v>
      </c>
      <c r="H1235" s="6">
        <f t="shared" si="19"/>
        <v>1790.25</v>
      </c>
    </row>
    <row r="1236" spans="1:8" x14ac:dyDescent="0.2">
      <c r="A1236" s="2" t="s">
        <v>1304</v>
      </c>
      <c r="B1236" s="2" t="s">
        <v>1274</v>
      </c>
      <c r="C1236" s="2" t="s">
        <v>50</v>
      </c>
      <c r="D1236" s="3">
        <v>4087</v>
      </c>
      <c r="E1236" s="4" t="s">
        <v>20</v>
      </c>
      <c r="F1236" s="5">
        <v>0.82</v>
      </c>
      <c r="G1236" s="4" t="s">
        <v>21</v>
      </c>
      <c r="H1236" s="6">
        <f t="shared" si="19"/>
        <v>3351.3399999999997</v>
      </c>
    </row>
    <row r="1237" spans="1:8" x14ac:dyDescent="0.2">
      <c r="A1237" s="2" t="s">
        <v>1305</v>
      </c>
      <c r="B1237" s="2" t="s">
        <v>1274</v>
      </c>
      <c r="C1237" s="2" t="s">
        <v>44</v>
      </c>
      <c r="D1237" s="3">
        <v>2164</v>
      </c>
      <c r="E1237" s="4" t="s">
        <v>24</v>
      </c>
      <c r="F1237" s="5">
        <v>1.48</v>
      </c>
      <c r="G1237" s="4" t="s">
        <v>25</v>
      </c>
      <c r="H1237" s="6">
        <f t="shared" si="19"/>
        <v>3202.72</v>
      </c>
    </row>
    <row r="1238" spans="1:8" x14ac:dyDescent="0.2">
      <c r="A1238" s="2" t="s">
        <v>1306</v>
      </c>
      <c r="B1238" s="2" t="s">
        <v>1274</v>
      </c>
      <c r="C1238" s="2" t="s">
        <v>44</v>
      </c>
      <c r="D1238" s="3">
        <v>2942</v>
      </c>
      <c r="E1238" s="4" t="s">
        <v>24</v>
      </c>
      <c r="F1238" s="5">
        <v>1.39</v>
      </c>
      <c r="G1238" s="4" t="s">
        <v>25</v>
      </c>
      <c r="H1238" s="6">
        <f t="shared" si="19"/>
        <v>4089.3799999999997</v>
      </c>
    </row>
    <row r="1239" spans="1:8" x14ac:dyDescent="0.2">
      <c r="A1239" s="2" t="s">
        <v>1307</v>
      </c>
      <c r="B1239" s="2" t="s">
        <v>1274</v>
      </c>
      <c r="C1239" s="2" t="s">
        <v>71</v>
      </c>
      <c r="D1239" s="3">
        <v>1323</v>
      </c>
      <c r="E1239" s="4" t="s">
        <v>72</v>
      </c>
      <c r="F1239" s="5">
        <v>2423.64</v>
      </c>
      <c r="G1239" s="4" t="s">
        <v>73</v>
      </c>
      <c r="H1239" s="6">
        <f t="shared" si="19"/>
        <v>3206475.7199999997</v>
      </c>
    </row>
    <row r="1240" spans="1:8" x14ac:dyDescent="0.2">
      <c r="A1240" s="2" t="s">
        <v>1308</v>
      </c>
      <c r="B1240" s="2" t="s">
        <v>1274</v>
      </c>
      <c r="C1240" s="2" t="s">
        <v>48</v>
      </c>
      <c r="D1240" s="3">
        <v>1711</v>
      </c>
      <c r="E1240" s="4" t="s">
        <v>24</v>
      </c>
      <c r="F1240" s="5">
        <v>0.15</v>
      </c>
      <c r="G1240" s="4" t="s">
        <v>25</v>
      </c>
      <c r="H1240" s="6">
        <f t="shared" si="19"/>
        <v>256.64999999999998</v>
      </c>
    </row>
    <row r="1241" spans="1:8" x14ac:dyDescent="0.2">
      <c r="A1241" s="2" t="s">
        <v>1309</v>
      </c>
      <c r="B1241" s="2" t="s">
        <v>1274</v>
      </c>
      <c r="C1241" s="2" t="s">
        <v>48</v>
      </c>
      <c r="D1241" s="3">
        <v>2718</v>
      </c>
      <c r="E1241" s="4" t="s">
        <v>24</v>
      </c>
      <c r="F1241" s="5">
        <v>0.09</v>
      </c>
      <c r="G1241" s="4" t="s">
        <v>25</v>
      </c>
      <c r="H1241" s="6">
        <f t="shared" si="19"/>
        <v>244.62</v>
      </c>
    </row>
    <row r="1242" spans="1:8" x14ac:dyDescent="0.2">
      <c r="A1242" s="2" t="s">
        <v>1310</v>
      </c>
      <c r="B1242" s="2" t="s">
        <v>1274</v>
      </c>
      <c r="C1242" s="2" t="s">
        <v>33</v>
      </c>
      <c r="D1242" s="3">
        <v>739</v>
      </c>
      <c r="E1242" s="4" t="s">
        <v>34</v>
      </c>
      <c r="F1242" s="5">
        <v>5.77</v>
      </c>
      <c r="G1242" s="4" t="s">
        <v>35</v>
      </c>
      <c r="H1242" s="6">
        <f t="shared" si="19"/>
        <v>4264.03</v>
      </c>
    </row>
    <row r="1243" spans="1:8" x14ac:dyDescent="0.2">
      <c r="A1243" s="2" t="s">
        <v>1311</v>
      </c>
      <c r="B1243" s="2" t="s">
        <v>1274</v>
      </c>
      <c r="C1243" s="2" t="s">
        <v>46</v>
      </c>
      <c r="D1243" s="3">
        <v>4057</v>
      </c>
      <c r="E1243" s="4" t="s">
        <v>20</v>
      </c>
      <c r="F1243" s="5">
        <v>2.2999999999999998</v>
      </c>
      <c r="G1243" s="4" t="s">
        <v>21</v>
      </c>
      <c r="H1243" s="6">
        <f t="shared" si="19"/>
        <v>9331.0999999999985</v>
      </c>
    </row>
    <row r="1244" spans="1:8" x14ac:dyDescent="0.2">
      <c r="A1244" s="2" t="s">
        <v>1312</v>
      </c>
      <c r="B1244" s="2" t="s">
        <v>1274</v>
      </c>
      <c r="C1244" s="2" t="s">
        <v>27</v>
      </c>
      <c r="D1244" s="3">
        <v>4201</v>
      </c>
      <c r="E1244" s="4" t="s">
        <v>20</v>
      </c>
      <c r="F1244" s="5">
        <v>1.29</v>
      </c>
      <c r="G1244" s="4" t="s">
        <v>21</v>
      </c>
      <c r="H1244" s="6">
        <f t="shared" si="19"/>
        <v>5419.29</v>
      </c>
    </row>
    <row r="1245" spans="1:8" x14ac:dyDescent="0.2">
      <c r="A1245" s="2" t="s">
        <v>1313</v>
      </c>
      <c r="B1245" s="2" t="s">
        <v>1274</v>
      </c>
      <c r="C1245" s="2" t="s">
        <v>50</v>
      </c>
      <c r="D1245" s="3">
        <v>2106</v>
      </c>
      <c r="E1245" s="4" t="s">
        <v>20</v>
      </c>
      <c r="F1245" s="5">
        <v>1.0900000000000001</v>
      </c>
      <c r="G1245" s="4" t="s">
        <v>21</v>
      </c>
      <c r="H1245" s="6">
        <f t="shared" si="19"/>
        <v>2295.54</v>
      </c>
    </row>
    <row r="1246" spans="1:8" x14ac:dyDescent="0.2">
      <c r="A1246" s="2" t="s">
        <v>1314</v>
      </c>
      <c r="B1246" s="2" t="s">
        <v>1274</v>
      </c>
      <c r="C1246" s="2" t="s">
        <v>23</v>
      </c>
      <c r="D1246" s="3">
        <v>2435</v>
      </c>
      <c r="E1246" s="4" t="s">
        <v>24</v>
      </c>
      <c r="F1246" s="5">
        <v>13.58</v>
      </c>
      <c r="G1246" s="4" t="s">
        <v>25</v>
      </c>
      <c r="H1246" s="6">
        <f t="shared" si="19"/>
        <v>33067.300000000003</v>
      </c>
    </row>
    <row r="1247" spans="1:8" x14ac:dyDescent="0.2">
      <c r="A1247" s="2" t="s">
        <v>1315</v>
      </c>
      <c r="B1247" s="2" t="s">
        <v>1274</v>
      </c>
      <c r="C1247" s="2" t="s">
        <v>37</v>
      </c>
      <c r="D1247" s="3">
        <v>827</v>
      </c>
      <c r="E1247" s="4" t="s">
        <v>38</v>
      </c>
      <c r="F1247" s="5">
        <v>4.4400000000000004</v>
      </c>
      <c r="G1247" s="4" t="s">
        <v>39</v>
      </c>
      <c r="H1247" s="6">
        <f t="shared" si="19"/>
        <v>3671.88</v>
      </c>
    </row>
    <row r="1248" spans="1:8" x14ac:dyDescent="0.2">
      <c r="A1248" s="2" t="s">
        <v>1316</v>
      </c>
      <c r="B1248" s="2" t="s">
        <v>1274</v>
      </c>
      <c r="C1248" s="2" t="s">
        <v>37</v>
      </c>
      <c r="D1248" s="3">
        <v>2390</v>
      </c>
      <c r="E1248" s="4" t="s">
        <v>38</v>
      </c>
      <c r="F1248" s="5">
        <v>3.08</v>
      </c>
      <c r="G1248" s="4" t="s">
        <v>39</v>
      </c>
      <c r="H1248" s="6">
        <f t="shared" si="19"/>
        <v>7361.2</v>
      </c>
    </row>
    <row r="1249" spans="1:8" x14ac:dyDescent="0.2">
      <c r="A1249" s="2" t="s">
        <v>1317</v>
      </c>
      <c r="B1249" s="2" t="s">
        <v>1274</v>
      </c>
      <c r="C1249" s="2" t="s">
        <v>57</v>
      </c>
      <c r="D1249" s="3">
        <v>3499</v>
      </c>
      <c r="E1249" s="4" t="s">
        <v>20</v>
      </c>
      <c r="F1249" s="5">
        <v>0.9</v>
      </c>
      <c r="G1249" s="4" t="s">
        <v>21</v>
      </c>
      <c r="H1249" s="6">
        <f t="shared" si="19"/>
        <v>3149.1</v>
      </c>
    </row>
    <row r="1250" spans="1:8" x14ac:dyDescent="0.2">
      <c r="A1250" s="2" t="s">
        <v>1318</v>
      </c>
      <c r="B1250" s="2" t="s">
        <v>1274</v>
      </c>
      <c r="C1250" s="2" t="s">
        <v>50</v>
      </c>
      <c r="D1250" s="3">
        <v>385</v>
      </c>
      <c r="E1250" s="4" t="s">
        <v>20</v>
      </c>
      <c r="F1250" s="5">
        <v>0.71</v>
      </c>
      <c r="G1250" s="4" t="s">
        <v>21</v>
      </c>
      <c r="H1250" s="6">
        <f t="shared" si="19"/>
        <v>273.34999999999997</v>
      </c>
    </row>
    <row r="1251" spans="1:8" x14ac:dyDescent="0.2">
      <c r="A1251" s="2" t="s">
        <v>1319</v>
      </c>
      <c r="B1251" s="2" t="s">
        <v>1274</v>
      </c>
      <c r="C1251" s="2" t="s">
        <v>89</v>
      </c>
      <c r="D1251" s="3">
        <v>1406</v>
      </c>
      <c r="E1251" s="4" t="s">
        <v>30</v>
      </c>
      <c r="F1251" s="5">
        <v>2.19</v>
      </c>
      <c r="G1251" s="4" t="s">
        <v>31</v>
      </c>
      <c r="H1251" s="6">
        <f t="shared" si="19"/>
        <v>3079.14</v>
      </c>
    </row>
    <row r="1252" spans="1:8" x14ac:dyDescent="0.2">
      <c r="A1252" s="2" t="s">
        <v>1320</v>
      </c>
      <c r="B1252" s="2" t="s">
        <v>1274</v>
      </c>
      <c r="C1252" s="2" t="s">
        <v>23</v>
      </c>
      <c r="D1252" s="3">
        <v>2207</v>
      </c>
      <c r="E1252" s="4" t="s">
        <v>24</v>
      </c>
      <c r="F1252" s="5">
        <v>17.27</v>
      </c>
      <c r="G1252" s="4" t="s">
        <v>25</v>
      </c>
      <c r="H1252" s="6">
        <f t="shared" si="19"/>
        <v>38114.89</v>
      </c>
    </row>
    <row r="1253" spans="1:8" x14ac:dyDescent="0.2">
      <c r="A1253" s="2" t="s">
        <v>1321</v>
      </c>
      <c r="B1253" s="2" t="s">
        <v>1274</v>
      </c>
      <c r="C1253" s="2" t="s">
        <v>27</v>
      </c>
      <c r="D1253" s="3">
        <v>3062</v>
      </c>
      <c r="E1253" s="4" t="s">
        <v>20</v>
      </c>
      <c r="F1253" s="5">
        <v>2.1800000000000002</v>
      </c>
      <c r="G1253" s="4" t="s">
        <v>21</v>
      </c>
      <c r="H1253" s="6">
        <f t="shared" si="19"/>
        <v>6675.1600000000008</v>
      </c>
    </row>
    <row r="1254" spans="1:8" x14ac:dyDescent="0.2">
      <c r="A1254" s="2" t="s">
        <v>1322</v>
      </c>
      <c r="B1254" s="2" t="s">
        <v>1274</v>
      </c>
      <c r="C1254" s="2" t="s">
        <v>118</v>
      </c>
      <c r="D1254" s="3">
        <v>942</v>
      </c>
      <c r="E1254" s="4" t="s">
        <v>24</v>
      </c>
      <c r="F1254" s="5">
        <v>0.68</v>
      </c>
      <c r="G1254" s="4" t="s">
        <v>25</v>
      </c>
      <c r="H1254" s="6">
        <f t="shared" si="19"/>
        <v>640.56000000000006</v>
      </c>
    </row>
    <row r="1255" spans="1:8" x14ac:dyDescent="0.2">
      <c r="A1255" s="2" t="s">
        <v>1323</v>
      </c>
      <c r="B1255" s="2" t="s">
        <v>1274</v>
      </c>
      <c r="C1255" s="2" t="s">
        <v>23</v>
      </c>
      <c r="D1255" s="3">
        <v>2236</v>
      </c>
      <c r="E1255" s="4" t="s">
        <v>24</v>
      </c>
      <c r="F1255" s="5">
        <v>17.010000000000002</v>
      </c>
      <c r="G1255" s="4" t="s">
        <v>25</v>
      </c>
      <c r="H1255" s="6">
        <f t="shared" si="19"/>
        <v>38034.36</v>
      </c>
    </row>
    <row r="1256" spans="1:8" x14ac:dyDescent="0.2">
      <c r="A1256" s="2" t="s">
        <v>1324</v>
      </c>
      <c r="B1256" s="2" t="s">
        <v>1274</v>
      </c>
      <c r="C1256" s="2" t="s">
        <v>48</v>
      </c>
      <c r="D1256" s="3">
        <v>3464</v>
      </c>
      <c r="E1256" s="4" t="s">
        <v>24</v>
      </c>
      <c r="F1256" s="5">
        <v>0.15</v>
      </c>
      <c r="G1256" s="4" t="s">
        <v>25</v>
      </c>
      <c r="H1256" s="6">
        <f t="shared" si="19"/>
        <v>519.6</v>
      </c>
    </row>
    <row r="1257" spans="1:8" x14ac:dyDescent="0.2">
      <c r="A1257" s="2" t="s">
        <v>1325</v>
      </c>
      <c r="B1257" s="2" t="s">
        <v>1274</v>
      </c>
      <c r="C1257" s="2" t="s">
        <v>118</v>
      </c>
      <c r="D1257" s="3">
        <v>936</v>
      </c>
      <c r="E1257" s="4" t="s">
        <v>24</v>
      </c>
      <c r="F1257" s="5">
        <v>0.49</v>
      </c>
      <c r="G1257" s="4" t="s">
        <v>25</v>
      </c>
      <c r="H1257" s="6">
        <f t="shared" si="19"/>
        <v>458.64</v>
      </c>
    </row>
    <row r="1258" spans="1:8" x14ac:dyDescent="0.2">
      <c r="A1258" s="2" t="s">
        <v>1326</v>
      </c>
      <c r="B1258" s="2" t="s">
        <v>1274</v>
      </c>
      <c r="C1258" s="2" t="s">
        <v>37</v>
      </c>
      <c r="D1258" s="3">
        <v>1315</v>
      </c>
      <c r="E1258" s="4" t="s">
        <v>38</v>
      </c>
      <c r="F1258" s="5">
        <v>2.31</v>
      </c>
      <c r="G1258" s="4" t="s">
        <v>39</v>
      </c>
      <c r="H1258" s="6">
        <f t="shared" si="19"/>
        <v>3037.65</v>
      </c>
    </row>
    <row r="1259" spans="1:8" x14ac:dyDescent="0.2">
      <c r="A1259" s="2" t="s">
        <v>1327</v>
      </c>
      <c r="B1259" s="2" t="s">
        <v>1274</v>
      </c>
      <c r="C1259" s="2" t="s">
        <v>46</v>
      </c>
      <c r="D1259" s="3">
        <v>3964</v>
      </c>
      <c r="E1259" s="4" t="s">
        <v>20</v>
      </c>
      <c r="F1259" s="5">
        <v>3.6</v>
      </c>
      <c r="G1259" s="4" t="s">
        <v>21</v>
      </c>
      <c r="H1259" s="6">
        <f t="shared" si="19"/>
        <v>14270.4</v>
      </c>
    </row>
    <row r="1260" spans="1:8" x14ac:dyDescent="0.2">
      <c r="A1260" s="2" t="s">
        <v>1328</v>
      </c>
      <c r="B1260" s="2" t="s">
        <v>1274</v>
      </c>
      <c r="C1260" s="2" t="s">
        <v>23</v>
      </c>
      <c r="D1260" s="3">
        <v>1494</v>
      </c>
      <c r="E1260" s="4" t="s">
        <v>24</v>
      </c>
      <c r="F1260" s="5">
        <v>15.67</v>
      </c>
      <c r="G1260" s="4" t="s">
        <v>25</v>
      </c>
      <c r="H1260" s="6">
        <f t="shared" si="19"/>
        <v>23410.98</v>
      </c>
    </row>
    <row r="1261" spans="1:8" x14ac:dyDescent="0.2">
      <c r="A1261" s="2" t="s">
        <v>1329</v>
      </c>
      <c r="B1261" s="2" t="s">
        <v>1274</v>
      </c>
      <c r="C1261" s="2" t="s">
        <v>19</v>
      </c>
      <c r="D1261" s="3">
        <v>246</v>
      </c>
      <c r="E1261" s="4" t="s">
        <v>20</v>
      </c>
      <c r="F1261" s="5">
        <v>1.62</v>
      </c>
      <c r="G1261" s="4" t="s">
        <v>21</v>
      </c>
      <c r="H1261" s="6">
        <f t="shared" si="19"/>
        <v>398.52000000000004</v>
      </c>
    </row>
    <row r="1262" spans="1:8" x14ac:dyDescent="0.2">
      <c r="A1262" s="2" t="s">
        <v>1330</v>
      </c>
      <c r="B1262" s="2" t="s">
        <v>1274</v>
      </c>
      <c r="C1262" s="2" t="s">
        <v>89</v>
      </c>
      <c r="D1262" s="3">
        <v>3967</v>
      </c>
      <c r="E1262" s="4" t="s">
        <v>30</v>
      </c>
      <c r="F1262" s="5">
        <v>2.9</v>
      </c>
      <c r="G1262" s="4" t="s">
        <v>31</v>
      </c>
      <c r="H1262" s="6">
        <f t="shared" si="19"/>
        <v>11504.3</v>
      </c>
    </row>
    <row r="1263" spans="1:8" x14ac:dyDescent="0.2">
      <c r="A1263" s="2" t="s">
        <v>1331</v>
      </c>
      <c r="B1263" s="2" t="s">
        <v>1274</v>
      </c>
      <c r="C1263" s="2" t="s">
        <v>50</v>
      </c>
      <c r="D1263" s="3">
        <v>3379</v>
      </c>
      <c r="E1263" s="4" t="s">
        <v>20</v>
      </c>
      <c r="F1263" s="5">
        <v>0.96</v>
      </c>
      <c r="G1263" s="4" t="s">
        <v>21</v>
      </c>
      <c r="H1263" s="6">
        <f t="shared" si="19"/>
        <v>3243.8399999999997</v>
      </c>
    </row>
    <row r="1264" spans="1:8" x14ac:dyDescent="0.2">
      <c r="A1264" s="2" t="s">
        <v>1332</v>
      </c>
      <c r="B1264" s="2" t="s">
        <v>1274</v>
      </c>
      <c r="C1264" s="2" t="s">
        <v>27</v>
      </c>
      <c r="D1264" s="3">
        <v>2153</v>
      </c>
      <c r="E1264" s="4" t="s">
        <v>20</v>
      </c>
      <c r="F1264" s="5">
        <v>1.99</v>
      </c>
      <c r="G1264" s="4" t="s">
        <v>21</v>
      </c>
      <c r="H1264" s="6">
        <f t="shared" si="19"/>
        <v>4284.47</v>
      </c>
    </row>
    <row r="1265" spans="1:8" x14ac:dyDescent="0.2">
      <c r="A1265" s="2" t="s">
        <v>1333</v>
      </c>
      <c r="B1265" s="2" t="s">
        <v>1274</v>
      </c>
      <c r="C1265" s="2" t="s">
        <v>33</v>
      </c>
      <c r="D1265" s="3">
        <v>4309</v>
      </c>
      <c r="E1265" s="4" t="s">
        <v>34</v>
      </c>
      <c r="F1265" s="5">
        <v>5.42</v>
      </c>
      <c r="G1265" s="4" t="s">
        <v>35</v>
      </c>
      <c r="H1265" s="6">
        <f t="shared" si="19"/>
        <v>23354.78</v>
      </c>
    </row>
    <row r="1266" spans="1:8" x14ac:dyDescent="0.2">
      <c r="A1266" s="2" t="s">
        <v>1334</v>
      </c>
      <c r="B1266" s="2" t="s">
        <v>1274</v>
      </c>
      <c r="C1266" s="2" t="s">
        <v>46</v>
      </c>
      <c r="D1266" s="3">
        <v>4638</v>
      </c>
      <c r="E1266" s="4" t="s">
        <v>20</v>
      </c>
      <c r="F1266" s="5">
        <v>2.4500000000000002</v>
      </c>
      <c r="G1266" s="4" t="s">
        <v>21</v>
      </c>
      <c r="H1266" s="6">
        <f t="shared" si="19"/>
        <v>11363.1</v>
      </c>
    </row>
    <row r="1267" spans="1:8" x14ac:dyDescent="0.2">
      <c r="A1267" s="2" t="s">
        <v>1335</v>
      </c>
      <c r="B1267" s="2" t="s">
        <v>1274</v>
      </c>
      <c r="C1267" s="2" t="s">
        <v>57</v>
      </c>
      <c r="D1267" s="3">
        <v>4262</v>
      </c>
      <c r="E1267" s="4" t="s">
        <v>20</v>
      </c>
      <c r="F1267" s="5">
        <v>0.81</v>
      </c>
      <c r="G1267" s="4" t="s">
        <v>21</v>
      </c>
      <c r="H1267" s="6">
        <f t="shared" si="19"/>
        <v>3452.2200000000003</v>
      </c>
    </row>
    <row r="1268" spans="1:8" x14ac:dyDescent="0.2">
      <c r="A1268" s="2" t="s">
        <v>1336</v>
      </c>
      <c r="B1268" s="2" t="s">
        <v>1274</v>
      </c>
      <c r="C1268" s="2" t="s">
        <v>147</v>
      </c>
      <c r="D1268" s="3">
        <v>790</v>
      </c>
      <c r="E1268" s="4" t="s">
        <v>53</v>
      </c>
      <c r="F1268" s="5">
        <v>11.46</v>
      </c>
      <c r="G1268" s="4" t="s">
        <v>54</v>
      </c>
      <c r="H1268" s="6">
        <f t="shared" si="19"/>
        <v>9053.4000000000015</v>
      </c>
    </row>
    <row r="1269" spans="1:8" x14ac:dyDescent="0.2">
      <c r="A1269" s="2" t="s">
        <v>1337</v>
      </c>
      <c r="B1269" s="2" t="s">
        <v>1274</v>
      </c>
      <c r="C1269" s="2" t="s">
        <v>42</v>
      </c>
      <c r="D1269" s="3">
        <v>3957</v>
      </c>
      <c r="E1269" s="4" t="s">
        <v>24</v>
      </c>
      <c r="F1269" s="5">
        <v>4.54</v>
      </c>
      <c r="G1269" s="4" t="s">
        <v>25</v>
      </c>
      <c r="H1269" s="6">
        <f t="shared" si="19"/>
        <v>17964.78</v>
      </c>
    </row>
    <row r="1270" spans="1:8" x14ac:dyDescent="0.2">
      <c r="A1270" s="2" t="s">
        <v>1338</v>
      </c>
      <c r="B1270" s="2" t="s">
        <v>1274</v>
      </c>
      <c r="C1270" s="2" t="s">
        <v>67</v>
      </c>
      <c r="D1270" s="3">
        <v>1227</v>
      </c>
      <c r="E1270" s="4" t="s">
        <v>24</v>
      </c>
      <c r="F1270" s="5">
        <v>0.55000000000000004</v>
      </c>
      <c r="G1270" s="4" t="s">
        <v>25</v>
      </c>
      <c r="H1270" s="6">
        <f t="shared" si="19"/>
        <v>674.85</v>
      </c>
    </row>
    <row r="1271" spans="1:8" x14ac:dyDescent="0.2">
      <c r="A1271" s="2" t="s">
        <v>1339</v>
      </c>
      <c r="B1271" s="2" t="s">
        <v>1274</v>
      </c>
      <c r="C1271" s="2" t="s">
        <v>29</v>
      </c>
      <c r="D1271" s="3">
        <v>457</v>
      </c>
      <c r="E1271" s="4" t="s">
        <v>30</v>
      </c>
      <c r="F1271" s="5">
        <v>1.01</v>
      </c>
      <c r="G1271" s="4" t="s">
        <v>31</v>
      </c>
      <c r="H1271" s="6">
        <f t="shared" si="19"/>
        <v>461.57</v>
      </c>
    </row>
    <row r="1272" spans="1:8" x14ac:dyDescent="0.2">
      <c r="A1272" s="2" t="s">
        <v>1340</v>
      </c>
      <c r="B1272" s="2" t="s">
        <v>1274</v>
      </c>
      <c r="C1272" s="2" t="s">
        <v>118</v>
      </c>
      <c r="D1272" s="3">
        <v>4151</v>
      </c>
      <c r="E1272" s="4" t="s">
        <v>24</v>
      </c>
      <c r="F1272" s="5">
        <v>0.99</v>
      </c>
      <c r="G1272" s="4" t="s">
        <v>25</v>
      </c>
      <c r="H1272" s="6">
        <f t="shared" si="19"/>
        <v>4109.49</v>
      </c>
    </row>
    <row r="1273" spans="1:8" x14ac:dyDescent="0.2">
      <c r="A1273" s="2" t="s">
        <v>1341</v>
      </c>
      <c r="B1273" s="2" t="s">
        <v>1274</v>
      </c>
      <c r="C1273" s="2" t="s">
        <v>48</v>
      </c>
      <c r="D1273" s="3">
        <v>1364</v>
      </c>
      <c r="E1273" s="4" t="s">
        <v>24</v>
      </c>
      <c r="F1273" s="5">
        <v>0.06</v>
      </c>
      <c r="G1273" s="4" t="s">
        <v>25</v>
      </c>
      <c r="H1273" s="6">
        <f t="shared" si="19"/>
        <v>81.84</v>
      </c>
    </row>
    <row r="1274" spans="1:8" x14ac:dyDescent="0.2">
      <c r="A1274" s="2" t="s">
        <v>1342</v>
      </c>
      <c r="B1274" s="2" t="s">
        <v>1274</v>
      </c>
      <c r="C1274" s="2" t="s">
        <v>48</v>
      </c>
      <c r="D1274" s="3">
        <v>2636</v>
      </c>
      <c r="E1274" s="4" t="s">
        <v>24</v>
      </c>
      <c r="F1274" s="5">
        <v>0.09</v>
      </c>
      <c r="G1274" s="4" t="s">
        <v>25</v>
      </c>
      <c r="H1274" s="6">
        <f t="shared" si="19"/>
        <v>237.23999999999998</v>
      </c>
    </row>
    <row r="1275" spans="1:8" x14ac:dyDescent="0.2">
      <c r="A1275" s="2" t="s">
        <v>1343</v>
      </c>
      <c r="B1275" s="2" t="s">
        <v>1274</v>
      </c>
      <c r="C1275" s="2" t="s">
        <v>86</v>
      </c>
      <c r="D1275" s="3">
        <v>422</v>
      </c>
      <c r="E1275" s="4" t="s">
        <v>72</v>
      </c>
      <c r="F1275" s="5">
        <v>8509.7000000000007</v>
      </c>
      <c r="G1275" s="4" t="s">
        <v>73</v>
      </c>
      <c r="H1275" s="6">
        <f t="shared" si="19"/>
        <v>3591093.4000000004</v>
      </c>
    </row>
    <row r="1276" spans="1:8" x14ac:dyDescent="0.2">
      <c r="A1276" s="2" t="s">
        <v>1344</v>
      </c>
      <c r="B1276" s="2" t="s">
        <v>1274</v>
      </c>
      <c r="C1276" s="2" t="s">
        <v>29</v>
      </c>
      <c r="D1276" s="3">
        <v>3111</v>
      </c>
      <c r="E1276" s="4" t="s">
        <v>30</v>
      </c>
      <c r="F1276" s="5">
        <v>1.48</v>
      </c>
      <c r="G1276" s="4" t="s">
        <v>31</v>
      </c>
      <c r="H1276" s="6">
        <f t="shared" si="19"/>
        <v>4604.28</v>
      </c>
    </row>
    <row r="1277" spans="1:8" x14ac:dyDescent="0.2">
      <c r="A1277" s="2" t="s">
        <v>1345</v>
      </c>
      <c r="B1277" s="2" t="s">
        <v>1274</v>
      </c>
      <c r="C1277" s="2" t="s">
        <v>42</v>
      </c>
      <c r="D1277" s="3">
        <v>655</v>
      </c>
      <c r="E1277" s="4" t="s">
        <v>24</v>
      </c>
      <c r="F1277" s="5">
        <v>4.88</v>
      </c>
      <c r="G1277" s="4" t="s">
        <v>25</v>
      </c>
      <c r="H1277" s="6">
        <f t="shared" si="19"/>
        <v>3196.4</v>
      </c>
    </row>
    <row r="1278" spans="1:8" x14ac:dyDescent="0.2">
      <c r="A1278" s="2" t="s">
        <v>1346</v>
      </c>
      <c r="B1278" s="2" t="s">
        <v>1274</v>
      </c>
      <c r="C1278" s="2" t="s">
        <v>46</v>
      </c>
      <c r="D1278" s="3">
        <v>3680</v>
      </c>
      <c r="E1278" s="4" t="s">
        <v>20</v>
      </c>
      <c r="F1278" s="5">
        <v>2.1800000000000002</v>
      </c>
      <c r="G1278" s="4" t="s">
        <v>21</v>
      </c>
      <c r="H1278" s="6">
        <f t="shared" si="19"/>
        <v>8022.4000000000005</v>
      </c>
    </row>
    <row r="1279" spans="1:8" x14ac:dyDescent="0.2">
      <c r="A1279" s="2" t="s">
        <v>1347</v>
      </c>
      <c r="B1279" s="2" t="s">
        <v>1274</v>
      </c>
      <c r="C1279" s="2" t="s">
        <v>48</v>
      </c>
      <c r="D1279" s="3">
        <v>3672</v>
      </c>
      <c r="E1279" s="4" t="s">
        <v>24</v>
      </c>
      <c r="F1279" s="5">
        <v>0.1</v>
      </c>
      <c r="G1279" s="4" t="s">
        <v>25</v>
      </c>
      <c r="H1279" s="6">
        <f t="shared" si="19"/>
        <v>367.20000000000005</v>
      </c>
    </row>
    <row r="1280" spans="1:8" x14ac:dyDescent="0.2">
      <c r="A1280" s="2" t="s">
        <v>1348</v>
      </c>
      <c r="B1280" s="2" t="s">
        <v>1274</v>
      </c>
      <c r="C1280" s="2" t="s">
        <v>48</v>
      </c>
      <c r="D1280" s="3">
        <v>155</v>
      </c>
      <c r="E1280" s="4" t="s">
        <v>24</v>
      </c>
      <c r="F1280" s="5">
        <v>7.0000000000000007E-2</v>
      </c>
      <c r="G1280" s="4" t="s">
        <v>25</v>
      </c>
      <c r="H1280" s="6">
        <f t="shared" si="19"/>
        <v>10.850000000000001</v>
      </c>
    </row>
    <row r="1281" spans="1:8" x14ac:dyDescent="0.2">
      <c r="A1281" s="2" t="s">
        <v>1349</v>
      </c>
      <c r="B1281" s="2" t="s">
        <v>1274</v>
      </c>
      <c r="C1281" s="2" t="s">
        <v>52</v>
      </c>
      <c r="D1281" s="3">
        <v>303</v>
      </c>
      <c r="E1281" s="4" t="s">
        <v>53</v>
      </c>
      <c r="F1281" s="5">
        <v>11.79</v>
      </c>
      <c r="G1281" s="4" t="s">
        <v>54</v>
      </c>
      <c r="H1281" s="6">
        <f t="shared" si="19"/>
        <v>3572.37</v>
      </c>
    </row>
    <row r="1282" spans="1:8" x14ac:dyDescent="0.2">
      <c r="A1282" s="2" t="s">
        <v>1350</v>
      </c>
      <c r="B1282" s="2" t="s">
        <v>1274</v>
      </c>
      <c r="C1282" s="2" t="s">
        <v>33</v>
      </c>
      <c r="D1282" s="3">
        <v>754</v>
      </c>
      <c r="E1282" s="4" t="s">
        <v>34</v>
      </c>
      <c r="F1282" s="5">
        <v>5.48</v>
      </c>
      <c r="G1282" s="4" t="s">
        <v>35</v>
      </c>
      <c r="H1282" s="6">
        <f t="shared" ref="H1282:H1345" si="20">D1282*F1282</f>
        <v>4131.92</v>
      </c>
    </row>
    <row r="1283" spans="1:8" x14ac:dyDescent="0.2">
      <c r="A1283" s="2" t="s">
        <v>1351</v>
      </c>
      <c r="B1283" s="2" t="s">
        <v>1274</v>
      </c>
      <c r="C1283" s="2" t="s">
        <v>147</v>
      </c>
      <c r="D1283" s="3">
        <v>2505</v>
      </c>
      <c r="E1283" s="4" t="s">
        <v>53</v>
      </c>
      <c r="F1283" s="5">
        <v>15.12</v>
      </c>
      <c r="G1283" s="4" t="s">
        <v>54</v>
      </c>
      <c r="H1283" s="6">
        <f t="shared" si="20"/>
        <v>37875.599999999999</v>
      </c>
    </row>
    <row r="1284" spans="1:8" x14ac:dyDescent="0.2">
      <c r="A1284" s="2" t="s">
        <v>1352</v>
      </c>
      <c r="B1284" s="2" t="s">
        <v>1274</v>
      </c>
      <c r="C1284" s="2" t="s">
        <v>29</v>
      </c>
      <c r="D1284" s="3">
        <v>1704</v>
      </c>
      <c r="E1284" s="4" t="s">
        <v>30</v>
      </c>
      <c r="F1284" s="5">
        <v>1.79</v>
      </c>
      <c r="G1284" s="4" t="s">
        <v>31</v>
      </c>
      <c r="H1284" s="6">
        <f t="shared" si="20"/>
        <v>3050.16</v>
      </c>
    </row>
    <row r="1285" spans="1:8" x14ac:dyDescent="0.2">
      <c r="A1285" s="2" t="s">
        <v>1353</v>
      </c>
      <c r="B1285" s="2" t="s">
        <v>1274</v>
      </c>
      <c r="C1285" s="2" t="s">
        <v>23</v>
      </c>
      <c r="D1285" s="3">
        <v>2802</v>
      </c>
      <c r="E1285" s="4" t="s">
        <v>24</v>
      </c>
      <c r="F1285" s="5">
        <v>14.18</v>
      </c>
      <c r="G1285" s="4" t="s">
        <v>25</v>
      </c>
      <c r="H1285" s="6">
        <f t="shared" si="20"/>
        <v>39732.36</v>
      </c>
    </row>
    <row r="1286" spans="1:8" x14ac:dyDescent="0.2">
      <c r="A1286" s="2" t="s">
        <v>1354</v>
      </c>
      <c r="B1286" s="2" t="s">
        <v>1274</v>
      </c>
      <c r="C1286" s="2" t="s">
        <v>37</v>
      </c>
      <c r="D1286" s="3">
        <v>1836</v>
      </c>
      <c r="E1286" s="4" t="s">
        <v>38</v>
      </c>
      <c r="F1286" s="5">
        <v>4.53</v>
      </c>
      <c r="G1286" s="4" t="s">
        <v>39</v>
      </c>
      <c r="H1286" s="6">
        <f t="shared" si="20"/>
        <v>8317.08</v>
      </c>
    </row>
    <row r="1287" spans="1:8" x14ac:dyDescent="0.2">
      <c r="A1287" s="2" t="s">
        <v>1355</v>
      </c>
      <c r="B1287" s="2" t="s">
        <v>1274</v>
      </c>
      <c r="C1287" s="2" t="s">
        <v>57</v>
      </c>
      <c r="D1287" s="3">
        <v>4598</v>
      </c>
      <c r="E1287" s="4" t="s">
        <v>20</v>
      </c>
      <c r="F1287" s="5">
        <v>0.91</v>
      </c>
      <c r="G1287" s="4" t="s">
        <v>21</v>
      </c>
      <c r="H1287" s="6">
        <f t="shared" si="20"/>
        <v>4184.18</v>
      </c>
    </row>
    <row r="1288" spans="1:8" x14ac:dyDescent="0.2">
      <c r="A1288" s="2" t="s">
        <v>1356</v>
      </c>
      <c r="B1288" s="2" t="s">
        <v>1274</v>
      </c>
      <c r="C1288" s="2" t="s">
        <v>147</v>
      </c>
      <c r="D1288" s="3">
        <v>3885</v>
      </c>
      <c r="E1288" s="4" t="s">
        <v>53</v>
      </c>
      <c r="F1288" s="5">
        <v>13.73</v>
      </c>
      <c r="G1288" s="4" t="s">
        <v>54</v>
      </c>
      <c r="H1288" s="6">
        <f t="shared" si="20"/>
        <v>53341.05</v>
      </c>
    </row>
    <row r="1289" spans="1:8" x14ac:dyDescent="0.2">
      <c r="A1289" s="2" t="s">
        <v>1357</v>
      </c>
      <c r="B1289" s="2" t="s">
        <v>1274</v>
      </c>
      <c r="C1289" s="2" t="s">
        <v>19</v>
      </c>
      <c r="D1289" s="3">
        <v>3717</v>
      </c>
      <c r="E1289" s="4" t="s">
        <v>20</v>
      </c>
      <c r="F1289" s="5">
        <v>1.17</v>
      </c>
      <c r="G1289" s="4" t="s">
        <v>21</v>
      </c>
      <c r="H1289" s="6">
        <f t="shared" si="20"/>
        <v>4348.8899999999994</v>
      </c>
    </row>
    <row r="1290" spans="1:8" x14ac:dyDescent="0.2">
      <c r="A1290" s="2" t="s">
        <v>1358</v>
      </c>
      <c r="B1290" s="2" t="s">
        <v>1274</v>
      </c>
      <c r="C1290" s="2" t="s">
        <v>42</v>
      </c>
      <c r="D1290" s="3">
        <v>27</v>
      </c>
      <c r="E1290" s="4" t="s">
        <v>24</v>
      </c>
      <c r="F1290" s="5">
        <v>4.5199999999999996</v>
      </c>
      <c r="G1290" s="4" t="s">
        <v>25</v>
      </c>
      <c r="H1290" s="6">
        <f t="shared" si="20"/>
        <v>122.03999999999999</v>
      </c>
    </row>
    <row r="1291" spans="1:8" x14ac:dyDescent="0.2">
      <c r="A1291" s="2" t="s">
        <v>1359</v>
      </c>
      <c r="B1291" s="2" t="s">
        <v>1274</v>
      </c>
      <c r="C1291" s="2" t="s">
        <v>71</v>
      </c>
      <c r="D1291" s="3">
        <v>4496</v>
      </c>
      <c r="E1291" s="4" t="s">
        <v>72</v>
      </c>
      <c r="F1291" s="5">
        <v>2713.19</v>
      </c>
      <c r="G1291" s="4" t="s">
        <v>73</v>
      </c>
      <c r="H1291" s="6">
        <f t="shared" si="20"/>
        <v>12198502.24</v>
      </c>
    </row>
    <row r="1292" spans="1:8" x14ac:dyDescent="0.2">
      <c r="A1292" s="2" t="s">
        <v>1360</v>
      </c>
      <c r="B1292" s="2" t="s">
        <v>1274</v>
      </c>
      <c r="C1292" s="2" t="s">
        <v>50</v>
      </c>
      <c r="D1292" s="3">
        <v>385</v>
      </c>
      <c r="E1292" s="4" t="s">
        <v>20</v>
      </c>
      <c r="F1292" s="5">
        <v>1.24</v>
      </c>
      <c r="G1292" s="4" t="s">
        <v>21</v>
      </c>
      <c r="H1292" s="6">
        <f t="shared" si="20"/>
        <v>477.4</v>
      </c>
    </row>
    <row r="1293" spans="1:8" x14ac:dyDescent="0.2">
      <c r="A1293" s="2" t="s">
        <v>1361</v>
      </c>
      <c r="B1293" s="2" t="s">
        <v>1274</v>
      </c>
      <c r="C1293" s="2" t="s">
        <v>48</v>
      </c>
      <c r="D1293" s="3">
        <v>1160</v>
      </c>
      <c r="E1293" s="4" t="s">
        <v>24</v>
      </c>
      <c r="F1293" s="5">
        <v>0.17</v>
      </c>
      <c r="G1293" s="4" t="s">
        <v>25</v>
      </c>
      <c r="H1293" s="6">
        <f t="shared" si="20"/>
        <v>197.20000000000002</v>
      </c>
    </row>
    <row r="1294" spans="1:8" x14ac:dyDescent="0.2">
      <c r="A1294" s="2" t="s">
        <v>1362</v>
      </c>
      <c r="B1294" s="2" t="s">
        <v>1274</v>
      </c>
      <c r="C1294" s="2" t="s">
        <v>52</v>
      </c>
      <c r="D1294" s="3">
        <v>886</v>
      </c>
      <c r="E1294" s="4" t="s">
        <v>53</v>
      </c>
      <c r="F1294" s="5">
        <v>10.27</v>
      </c>
      <c r="G1294" s="4" t="s">
        <v>54</v>
      </c>
      <c r="H1294" s="6">
        <f t="shared" si="20"/>
        <v>9099.2199999999993</v>
      </c>
    </row>
    <row r="1295" spans="1:8" x14ac:dyDescent="0.2">
      <c r="A1295" s="2" t="s">
        <v>1363</v>
      </c>
      <c r="B1295" s="2" t="s">
        <v>1274</v>
      </c>
      <c r="C1295" s="2" t="s">
        <v>44</v>
      </c>
      <c r="D1295" s="3">
        <v>1546</v>
      </c>
      <c r="E1295" s="4" t="s">
        <v>24</v>
      </c>
      <c r="F1295" s="5">
        <v>0.98</v>
      </c>
      <c r="G1295" s="4" t="s">
        <v>25</v>
      </c>
      <c r="H1295" s="6">
        <f t="shared" si="20"/>
        <v>1515.08</v>
      </c>
    </row>
    <row r="1296" spans="1:8" x14ac:dyDescent="0.2">
      <c r="A1296" s="2" t="s">
        <v>1364</v>
      </c>
      <c r="B1296" s="2" t="s">
        <v>1274</v>
      </c>
      <c r="C1296" s="2" t="s">
        <v>67</v>
      </c>
      <c r="D1296" s="3">
        <v>1776</v>
      </c>
      <c r="E1296" s="4" t="s">
        <v>24</v>
      </c>
      <c r="F1296" s="5">
        <v>0.44</v>
      </c>
      <c r="G1296" s="4" t="s">
        <v>25</v>
      </c>
      <c r="H1296" s="6">
        <f t="shared" si="20"/>
        <v>781.44</v>
      </c>
    </row>
    <row r="1297" spans="1:8" x14ac:dyDescent="0.2">
      <c r="A1297" s="2" t="s">
        <v>1365</v>
      </c>
      <c r="B1297" s="2" t="s">
        <v>1274</v>
      </c>
      <c r="C1297" s="2" t="s">
        <v>44</v>
      </c>
      <c r="D1297" s="3">
        <v>2778</v>
      </c>
      <c r="E1297" s="4" t="s">
        <v>24</v>
      </c>
      <c r="F1297" s="5">
        <v>0.98</v>
      </c>
      <c r="G1297" s="4" t="s">
        <v>25</v>
      </c>
      <c r="H1297" s="6">
        <f t="shared" si="20"/>
        <v>2722.44</v>
      </c>
    </row>
    <row r="1298" spans="1:8" x14ac:dyDescent="0.2">
      <c r="A1298" s="2" t="s">
        <v>1366</v>
      </c>
      <c r="B1298" s="2" t="s">
        <v>1274</v>
      </c>
      <c r="C1298" s="2" t="s">
        <v>52</v>
      </c>
      <c r="D1298" s="3">
        <v>390</v>
      </c>
      <c r="E1298" s="4" t="s">
        <v>53</v>
      </c>
      <c r="F1298" s="5">
        <v>13.63</v>
      </c>
      <c r="G1298" s="4" t="s">
        <v>54</v>
      </c>
      <c r="H1298" s="6">
        <f t="shared" si="20"/>
        <v>5315.7000000000007</v>
      </c>
    </row>
    <row r="1299" spans="1:8" x14ac:dyDescent="0.2">
      <c r="A1299" s="2" t="s">
        <v>1367</v>
      </c>
      <c r="B1299" s="2" t="s">
        <v>1274</v>
      </c>
      <c r="C1299" s="2" t="s">
        <v>46</v>
      </c>
      <c r="D1299" s="3">
        <v>1019</v>
      </c>
      <c r="E1299" s="4" t="s">
        <v>20</v>
      </c>
      <c r="F1299" s="5">
        <v>3.54</v>
      </c>
      <c r="G1299" s="4" t="s">
        <v>21</v>
      </c>
      <c r="H1299" s="6">
        <f t="shared" si="20"/>
        <v>3607.26</v>
      </c>
    </row>
    <row r="1300" spans="1:8" x14ac:dyDescent="0.2">
      <c r="A1300" s="2" t="s">
        <v>1368</v>
      </c>
      <c r="B1300" s="2" t="s">
        <v>1274</v>
      </c>
      <c r="C1300" s="2" t="s">
        <v>23</v>
      </c>
      <c r="D1300" s="3">
        <v>3756</v>
      </c>
      <c r="E1300" s="4" t="s">
        <v>24</v>
      </c>
      <c r="F1300" s="5">
        <v>15.95</v>
      </c>
      <c r="G1300" s="4" t="s">
        <v>25</v>
      </c>
      <c r="H1300" s="6">
        <f t="shared" si="20"/>
        <v>59908.2</v>
      </c>
    </row>
    <row r="1301" spans="1:8" x14ac:dyDescent="0.2">
      <c r="A1301" s="2" t="s">
        <v>1369</v>
      </c>
      <c r="B1301" s="2" t="s">
        <v>1274</v>
      </c>
      <c r="C1301" s="2" t="s">
        <v>78</v>
      </c>
      <c r="D1301" s="3">
        <v>1112</v>
      </c>
      <c r="E1301" s="4" t="s">
        <v>38</v>
      </c>
      <c r="F1301" s="5">
        <v>3.14</v>
      </c>
      <c r="G1301" s="4" t="s">
        <v>39</v>
      </c>
      <c r="H1301" s="6">
        <f t="shared" si="20"/>
        <v>3491.6800000000003</v>
      </c>
    </row>
    <row r="1302" spans="1:8" x14ac:dyDescent="0.2">
      <c r="A1302" s="2" t="s">
        <v>1370</v>
      </c>
      <c r="B1302" s="2" t="s">
        <v>1274</v>
      </c>
      <c r="C1302" s="2" t="s">
        <v>33</v>
      </c>
      <c r="D1302" s="3">
        <v>4354</v>
      </c>
      <c r="E1302" s="4" t="s">
        <v>34</v>
      </c>
      <c r="F1302" s="5">
        <v>5.34</v>
      </c>
      <c r="G1302" s="4" t="s">
        <v>35</v>
      </c>
      <c r="H1302" s="6">
        <f t="shared" si="20"/>
        <v>23250.36</v>
      </c>
    </row>
    <row r="1303" spans="1:8" x14ac:dyDescent="0.2">
      <c r="A1303" s="2" t="s">
        <v>1371</v>
      </c>
      <c r="B1303" s="2" t="s">
        <v>1274</v>
      </c>
      <c r="C1303" s="2" t="s">
        <v>29</v>
      </c>
      <c r="D1303" s="3">
        <v>3555</v>
      </c>
      <c r="E1303" s="4" t="s">
        <v>30</v>
      </c>
      <c r="F1303" s="5">
        <v>2.0099999999999998</v>
      </c>
      <c r="G1303" s="4" t="s">
        <v>31</v>
      </c>
      <c r="H1303" s="6">
        <f t="shared" si="20"/>
        <v>7145.5499999999993</v>
      </c>
    </row>
    <row r="1304" spans="1:8" x14ac:dyDescent="0.2">
      <c r="A1304" s="2" t="s">
        <v>1372</v>
      </c>
      <c r="B1304" s="2" t="s">
        <v>1274</v>
      </c>
      <c r="C1304" s="2" t="s">
        <v>48</v>
      </c>
      <c r="D1304" s="3">
        <v>4174</v>
      </c>
      <c r="E1304" s="4" t="s">
        <v>24</v>
      </c>
      <c r="F1304" s="5">
        <v>0.17</v>
      </c>
      <c r="G1304" s="4" t="s">
        <v>25</v>
      </c>
      <c r="H1304" s="6">
        <f t="shared" si="20"/>
        <v>709.58</v>
      </c>
    </row>
    <row r="1305" spans="1:8" x14ac:dyDescent="0.2">
      <c r="A1305" s="2" t="s">
        <v>1373</v>
      </c>
      <c r="B1305" s="2" t="s">
        <v>1274</v>
      </c>
      <c r="C1305" s="2" t="s">
        <v>118</v>
      </c>
      <c r="D1305" s="3">
        <v>4749</v>
      </c>
      <c r="E1305" s="4" t="s">
        <v>24</v>
      </c>
      <c r="F1305" s="5">
        <v>0.52</v>
      </c>
      <c r="G1305" s="4" t="s">
        <v>25</v>
      </c>
      <c r="H1305" s="6">
        <f t="shared" si="20"/>
        <v>2469.48</v>
      </c>
    </row>
    <row r="1306" spans="1:8" x14ac:dyDescent="0.2">
      <c r="A1306" s="2" t="s">
        <v>1374</v>
      </c>
      <c r="B1306" s="2" t="s">
        <v>1274</v>
      </c>
      <c r="C1306" s="2" t="s">
        <v>89</v>
      </c>
      <c r="D1306" s="3">
        <v>858</v>
      </c>
      <c r="E1306" s="4" t="s">
        <v>30</v>
      </c>
      <c r="F1306" s="5">
        <v>2.2599999999999998</v>
      </c>
      <c r="G1306" s="4" t="s">
        <v>31</v>
      </c>
      <c r="H1306" s="6">
        <f t="shared" si="20"/>
        <v>1939.08</v>
      </c>
    </row>
    <row r="1307" spans="1:8" x14ac:dyDescent="0.2">
      <c r="A1307" s="2" t="s">
        <v>1375</v>
      </c>
      <c r="B1307" s="2" t="s">
        <v>1274</v>
      </c>
      <c r="C1307" s="2" t="s">
        <v>147</v>
      </c>
      <c r="D1307" s="3">
        <v>4975</v>
      </c>
      <c r="E1307" s="4" t="s">
        <v>53</v>
      </c>
      <c r="F1307" s="5">
        <v>15.06</v>
      </c>
      <c r="G1307" s="4" t="s">
        <v>54</v>
      </c>
      <c r="H1307" s="6">
        <f t="shared" si="20"/>
        <v>74923.5</v>
      </c>
    </row>
    <row r="1308" spans="1:8" x14ac:dyDescent="0.2">
      <c r="A1308" s="2" t="s">
        <v>1376</v>
      </c>
      <c r="B1308" s="2" t="s">
        <v>1274</v>
      </c>
      <c r="C1308" s="2" t="s">
        <v>78</v>
      </c>
      <c r="D1308" s="3">
        <v>3161</v>
      </c>
      <c r="E1308" s="4" t="s">
        <v>38</v>
      </c>
      <c r="F1308" s="5">
        <v>2.21</v>
      </c>
      <c r="G1308" s="4" t="s">
        <v>39</v>
      </c>
      <c r="H1308" s="6">
        <f t="shared" si="20"/>
        <v>6985.8099999999995</v>
      </c>
    </row>
    <row r="1309" spans="1:8" x14ac:dyDescent="0.2">
      <c r="A1309" s="2" t="s">
        <v>1377</v>
      </c>
      <c r="B1309" s="2" t="s">
        <v>1274</v>
      </c>
      <c r="C1309" s="2" t="s">
        <v>147</v>
      </c>
      <c r="D1309" s="3">
        <v>2043</v>
      </c>
      <c r="E1309" s="4" t="s">
        <v>53</v>
      </c>
      <c r="F1309" s="5">
        <v>10.19</v>
      </c>
      <c r="G1309" s="4" t="s">
        <v>54</v>
      </c>
      <c r="H1309" s="6">
        <f t="shared" si="20"/>
        <v>20818.169999999998</v>
      </c>
    </row>
    <row r="1310" spans="1:8" x14ac:dyDescent="0.2">
      <c r="A1310" s="2" t="s">
        <v>1378</v>
      </c>
      <c r="B1310" s="2" t="s">
        <v>1274</v>
      </c>
      <c r="C1310" s="2" t="s">
        <v>57</v>
      </c>
      <c r="D1310" s="3">
        <v>2419</v>
      </c>
      <c r="E1310" s="4" t="s">
        <v>20</v>
      </c>
      <c r="F1310" s="5">
        <v>0.78</v>
      </c>
      <c r="G1310" s="4" t="s">
        <v>21</v>
      </c>
      <c r="H1310" s="6">
        <f t="shared" si="20"/>
        <v>1886.8200000000002</v>
      </c>
    </row>
    <row r="1311" spans="1:8" x14ac:dyDescent="0.2">
      <c r="A1311" s="2" t="s">
        <v>1379</v>
      </c>
      <c r="B1311" s="2" t="s">
        <v>1274</v>
      </c>
      <c r="C1311" s="2" t="s">
        <v>89</v>
      </c>
      <c r="D1311" s="3">
        <v>1141</v>
      </c>
      <c r="E1311" s="4" t="s">
        <v>30</v>
      </c>
      <c r="F1311" s="5">
        <v>2.2999999999999998</v>
      </c>
      <c r="G1311" s="4" t="s">
        <v>31</v>
      </c>
      <c r="H1311" s="6">
        <f t="shared" si="20"/>
        <v>2624.2999999999997</v>
      </c>
    </row>
    <row r="1312" spans="1:8" x14ac:dyDescent="0.2">
      <c r="A1312" s="2" t="s">
        <v>1380</v>
      </c>
      <c r="B1312" s="2" t="s">
        <v>1274</v>
      </c>
      <c r="C1312" s="2" t="s">
        <v>78</v>
      </c>
      <c r="D1312" s="3">
        <v>2458</v>
      </c>
      <c r="E1312" s="4" t="s">
        <v>38</v>
      </c>
      <c r="F1312" s="5">
        <v>2.93</v>
      </c>
      <c r="G1312" s="4" t="s">
        <v>39</v>
      </c>
      <c r="H1312" s="6">
        <f t="shared" si="20"/>
        <v>7201.9400000000005</v>
      </c>
    </row>
    <row r="1313" spans="1:8" x14ac:dyDescent="0.2">
      <c r="A1313" s="2" t="s">
        <v>1381</v>
      </c>
      <c r="B1313" s="2" t="s">
        <v>1274</v>
      </c>
      <c r="C1313" s="2" t="s">
        <v>29</v>
      </c>
      <c r="D1313" s="3">
        <v>2581</v>
      </c>
      <c r="E1313" s="4" t="s">
        <v>30</v>
      </c>
      <c r="F1313" s="5">
        <v>1.85</v>
      </c>
      <c r="G1313" s="4" t="s">
        <v>31</v>
      </c>
      <c r="H1313" s="6">
        <f t="shared" si="20"/>
        <v>4774.8500000000004</v>
      </c>
    </row>
    <row r="1314" spans="1:8" x14ac:dyDescent="0.2">
      <c r="A1314" s="2" t="s">
        <v>1382</v>
      </c>
      <c r="B1314" s="2" t="s">
        <v>1274</v>
      </c>
      <c r="C1314" s="2" t="s">
        <v>29</v>
      </c>
      <c r="D1314" s="3">
        <v>1790</v>
      </c>
      <c r="E1314" s="4" t="s">
        <v>30</v>
      </c>
      <c r="F1314" s="5">
        <v>1.24</v>
      </c>
      <c r="G1314" s="4" t="s">
        <v>31</v>
      </c>
      <c r="H1314" s="6">
        <f t="shared" si="20"/>
        <v>2219.6</v>
      </c>
    </row>
    <row r="1315" spans="1:8" x14ac:dyDescent="0.2">
      <c r="A1315" s="2" t="s">
        <v>1383</v>
      </c>
      <c r="B1315" s="2" t="s">
        <v>1274</v>
      </c>
      <c r="C1315" s="2" t="s">
        <v>147</v>
      </c>
      <c r="D1315" s="3">
        <v>2390</v>
      </c>
      <c r="E1315" s="4" t="s">
        <v>53</v>
      </c>
      <c r="F1315" s="5">
        <v>13.49</v>
      </c>
      <c r="G1315" s="4" t="s">
        <v>54</v>
      </c>
      <c r="H1315" s="6">
        <f t="shared" si="20"/>
        <v>32241.100000000002</v>
      </c>
    </row>
    <row r="1316" spans="1:8" x14ac:dyDescent="0.2">
      <c r="A1316" s="2" t="s">
        <v>1384</v>
      </c>
      <c r="B1316" s="2" t="s">
        <v>1274</v>
      </c>
      <c r="C1316" s="2" t="s">
        <v>89</v>
      </c>
      <c r="D1316" s="3">
        <v>1466</v>
      </c>
      <c r="E1316" s="4" t="s">
        <v>30</v>
      </c>
      <c r="F1316" s="5">
        <v>2.4</v>
      </c>
      <c r="G1316" s="4" t="s">
        <v>31</v>
      </c>
      <c r="H1316" s="6">
        <f t="shared" si="20"/>
        <v>3518.4</v>
      </c>
    </row>
    <row r="1317" spans="1:8" x14ac:dyDescent="0.2">
      <c r="A1317" s="2" t="s">
        <v>1385</v>
      </c>
      <c r="B1317" s="2" t="s">
        <v>1274</v>
      </c>
      <c r="C1317" s="2" t="s">
        <v>57</v>
      </c>
      <c r="D1317" s="3">
        <v>955</v>
      </c>
      <c r="E1317" s="4" t="s">
        <v>20</v>
      </c>
      <c r="F1317" s="5">
        <v>0.9</v>
      </c>
      <c r="G1317" s="4" t="s">
        <v>21</v>
      </c>
      <c r="H1317" s="6">
        <f t="shared" si="20"/>
        <v>859.5</v>
      </c>
    </row>
    <row r="1318" spans="1:8" x14ac:dyDescent="0.2">
      <c r="A1318" s="2" t="s">
        <v>1386</v>
      </c>
      <c r="B1318" s="2" t="s">
        <v>1274</v>
      </c>
      <c r="C1318" s="2" t="s">
        <v>29</v>
      </c>
      <c r="D1318" s="3">
        <v>3945</v>
      </c>
      <c r="E1318" s="4" t="s">
        <v>30</v>
      </c>
      <c r="F1318" s="5">
        <v>1.7</v>
      </c>
      <c r="G1318" s="4" t="s">
        <v>31</v>
      </c>
      <c r="H1318" s="6">
        <f t="shared" si="20"/>
        <v>6706.5</v>
      </c>
    </row>
    <row r="1319" spans="1:8" x14ac:dyDescent="0.2">
      <c r="A1319" s="2" t="s">
        <v>1387</v>
      </c>
      <c r="B1319" s="2" t="s">
        <v>1274</v>
      </c>
      <c r="C1319" s="2" t="s">
        <v>52</v>
      </c>
      <c r="D1319" s="3">
        <v>4383</v>
      </c>
      <c r="E1319" s="4" t="s">
        <v>53</v>
      </c>
      <c r="F1319" s="5">
        <v>10.43</v>
      </c>
      <c r="G1319" s="4" t="s">
        <v>54</v>
      </c>
      <c r="H1319" s="6">
        <f t="shared" si="20"/>
        <v>45714.69</v>
      </c>
    </row>
    <row r="1320" spans="1:8" x14ac:dyDescent="0.2">
      <c r="A1320" s="2" t="s">
        <v>1388</v>
      </c>
      <c r="B1320" s="2" t="s">
        <v>1274</v>
      </c>
      <c r="C1320" s="2" t="s">
        <v>52</v>
      </c>
      <c r="D1320" s="3">
        <v>114</v>
      </c>
      <c r="E1320" s="4" t="s">
        <v>53</v>
      </c>
      <c r="F1320" s="5">
        <v>11.61</v>
      </c>
      <c r="G1320" s="4" t="s">
        <v>54</v>
      </c>
      <c r="H1320" s="6">
        <f t="shared" si="20"/>
        <v>1323.54</v>
      </c>
    </row>
    <row r="1321" spans="1:8" x14ac:dyDescent="0.2">
      <c r="A1321" s="2" t="s">
        <v>1389</v>
      </c>
      <c r="B1321" s="2" t="s">
        <v>1274</v>
      </c>
      <c r="C1321" s="2" t="s">
        <v>33</v>
      </c>
      <c r="D1321" s="3">
        <v>3130</v>
      </c>
      <c r="E1321" s="4" t="s">
        <v>34</v>
      </c>
      <c r="F1321" s="5">
        <v>3.86</v>
      </c>
      <c r="G1321" s="4" t="s">
        <v>35</v>
      </c>
      <c r="H1321" s="6">
        <f t="shared" si="20"/>
        <v>12081.8</v>
      </c>
    </row>
    <row r="1322" spans="1:8" x14ac:dyDescent="0.2">
      <c r="A1322" s="2" t="s">
        <v>1390</v>
      </c>
      <c r="B1322" s="2" t="s">
        <v>1274</v>
      </c>
      <c r="C1322" s="2" t="s">
        <v>37</v>
      </c>
      <c r="D1322" s="3">
        <v>1647</v>
      </c>
      <c r="E1322" s="4" t="s">
        <v>38</v>
      </c>
      <c r="F1322" s="5">
        <v>2.8</v>
      </c>
      <c r="G1322" s="4" t="s">
        <v>39</v>
      </c>
      <c r="H1322" s="6">
        <f t="shared" si="20"/>
        <v>4611.5999999999995</v>
      </c>
    </row>
    <row r="1323" spans="1:8" x14ac:dyDescent="0.2">
      <c r="A1323" s="2" t="s">
        <v>1391</v>
      </c>
      <c r="B1323" s="2" t="s">
        <v>1274</v>
      </c>
      <c r="C1323" s="2" t="s">
        <v>118</v>
      </c>
      <c r="D1323" s="3">
        <v>2357</v>
      </c>
      <c r="E1323" s="4" t="s">
        <v>24</v>
      </c>
      <c r="F1323" s="5">
        <v>0.88</v>
      </c>
      <c r="G1323" s="4" t="s">
        <v>25</v>
      </c>
      <c r="H1323" s="6">
        <f t="shared" si="20"/>
        <v>2074.16</v>
      </c>
    </row>
    <row r="1324" spans="1:8" x14ac:dyDescent="0.2">
      <c r="A1324" s="2" t="s">
        <v>1392</v>
      </c>
      <c r="B1324" s="2" t="s">
        <v>1274</v>
      </c>
      <c r="C1324" s="2" t="s">
        <v>89</v>
      </c>
      <c r="D1324" s="3">
        <v>518</v>
      </c>
      <c r="E1324" s="4" t="s">
        <v>30</v>
      </c>
      <c r="F1324" s="5">
        <v>2.63</v>
      </c>
      <c r="G1324" s="4" t="s">
        <v>31</v>
      </c>
      <c r="H1324" s="6">
        <f t="shared" si="20"/>
        <v>1362.34</v>
      </c>
    </row>
    <row r="1325" spans="1:8" x14ac:dyDescent="0.2">
      <c r="A1325" s="2" t="s">
        <v>1393</v>
      </c>
      <c r="B1325" s="2" t="s">
        <v>1274</v>
      </c>
      <c r="C1325" s="2" t="s">
        <v>71</v>
      </c>
      <c r="D1325" s="3">
        <v>1681</v>
      </c>
      <c r="E1325" s="4" t="s">
        <v>72</v>
      </c>
      <c r="F1325" s="5">
        <v>2852.16</v>
      </c>
      <c r="G1325" s="4" t="s">
        <v>73</v>
      </c>
      <c r="H1325" s="6">
        <f t="shared" si="20"/>
        <v>4794480.96</v>
      </c>
    </row>
    <row r="1326" spans="1:8" x14ac:dyDescent="0.2">
      <c r="A1326" s="2" t="s">
        <v>1394</v>
      </c>
      <c r="B1326" s="2" t="s">
        <v>1274</v>
      </c>
      <c r="C1326" s="2" t="s">
        <v>37</v>
      </c>
      <c r="D1326" s="3">
        <v>2948</v>
      </c>
      <c r="E1326" s="4" t="s">
        <v>38</v>
      </c>
      <c r="F1326" s="5">
        <v>4.4400000000000004</v>
      </c>
      <c r="G1326" s="4" t="s">
        <v>39</v>
      </c>
      <c r="H1326" s="6">
        <f t="shared" si="20"/>
        <v>13089.12</v>
      </c>
    </row>
    <row r="1327" spans="1:8" x14ac:dyDescent="0.2">
      <c r="A1327" s="2" t="s">
        <v>1395</v>
      </c>
      <c r="B1327" s="2" t="s">
        <v>1274</v>
      </c>
      <c r="C1327" s="2" t="s">
        <v>50</v>
      </c>
      <c r="D1327" s="3">
        <v>4612</v>
      </c>
      <c r="E1327" s="4" t="s">
        <v>20</v>
      </c>
      <c r="F1327" s="5">
        <v>1.22</v>
      </c>
      <c r="G1327" s="4" t="s">
        <v>21</v>
      </c>
      <c r="H1327" s="6">
        <f t="shared" si="20"/>
        <v>5626.64</v>
      </c>
    </row>
    <row r="1328" spans="1:8" x14ac:dyDescent="0.2">
      <c r="A1328" s="2" t="s">
        <v>1396</v>
      </c>
      <c r="B1328" s="2" t="s">
        <v>1274</v>
      </c>
      <c r="C1328" s="2" t="s">
        <v>29</v>
      </c>
      <c r="D1328" s="3">
        <v>3195</v>
      </c>
      <c r="E1328" s="4" t="s">
        <v>30</v>
      </c>
      <c r="F1328" s="5">
        <v>1.29</v>
      </c>
      <c r="G1328" s="4" t="s">
        <v>31</v>
      </c>
      <c r="H1328" s="6">
        <f t="shared" si="20"/>
        <v>4121.55</v>
      </c>
    </row>
    <row r="1329" spans="1:8" x14ac:dyDescent="0.2">
      <c r="A1329" s="2" t="s">
        <v>1397</v>
      </c>
      <c r="B1329" s="2" t="s">
        <v>1398</v>
      </c>
      <c r="C1329" s="2" t="s">
        <v>71</v>
      </c>
      <c r="D1329" s="3">
        <v>394</v>
      </c>
      <c r="E1329" s="4" t="s">
        <v>72</v>
      </c>
      <c r="F1329" s="5">
        <v>2955.89</v>
      </c>
      <c r="G1329" s="4" t="s">
        <v>73</v>
      </c>
      <c r="H1329" s="6">
        <f t="shared" si="20"/>
        <v>1164620.6599999999</v>
      </c>
    </row>
    <row r="1330" spans="1:8" x14ac:dyDescent="0.2">
      <c r="A1330" s="2" t="s">
        <v>1399</v>
      </c>
      <c r="B1330" s="2" t="s">
        <v>1398</v>
      </c>
      <c r="C1330" s="2" t="s">
        <v>67</v>
      </c>
      <c r="D1330" s="3">
        <v>3422</v>
      </c>
      <c r="E1330" s="4" t="s">
        <v>24</v>
      </c>
      <c r="F1330" s="5">
        <v>0.59</v>
      </c>
      <c r="G1330" s="4" t="s">
        <v>25</v>
      </c>
      <c r="H1330" s="6">
        <f t="shared" si="20"/>
        <v>2018.9799999999998</v>
      </c>
    </row>
    <row r="1331" spans="1:8" x14ac:dyDescent="0.2">
      <c r="A1331" s="2" t="s">
        <v>1400</v>
      </c>
      <c r="B1331" s="2" t="s">
        <v>1398</v>
      </c>
      <c r="C1331" s="2" t="s">
        <v>57</v>
      </c>
      <c r="D1331" s="3">
        <v>4533</v>
      </c>
      <c r="E1331" s="4" t="s">
        <v>20</v>
      </c>
      <c r="F1331" s="5">
        <v>0.62</v>
      </c>
      <c r="G1331" s="4" t="s">
        <v>21</v>
      </c>
      <c r="H1331" s="6">
        <f t="shared" si="20"/>
        <v>2810.46</v>
      </c>
    </row>
    <row r="1332" spans="1:8" x14ac:dyDescent="0.2">
      <c r="A1332" s="2" t="s">
        <v>1401</v>
      </c>
      <c r="B1332" s="2" t="s">
        <v>1398</v>
      </c>
      <c r="C1332" s="2" t="s">
        <v>86</v>
      </c>
      <c r="D1332" s="3">
        <v>1673</v>
      </c>
      <c r="E1332" s="4" t="s">
        <v>72</v>
      </c>
      <c r="F1332" s="5">
        <v>8668.7900000000009</v>
      </c>
      <c r="G1332" s="4" t="s">
        <v>73</v>
      </c>
      <c r="H1332" s="6">
        <f t="shared" si="20"/>
        <v>14502885.670000002</v>
      </c>
    </row>
    <row r="1333" spans="1:8" x14ac:dyDescent="0.2">
      <c r="A1333" s="2" t="s">
        <v>1402</v>
      </c>
      <c r="B1333" s="2" t="s">
        <v>1398</v>
      </c>
      <c r="C1333" s="2" t="s">
        <v>23</v>
      </c>
      <c r="D1333" s="3">
        <v>1857</v>
      </c>
      <c r="E1333" s="4" t="s">
        <v>24</v>
      </c>
      <c r="F1333" s="5">
        <v>17.47</v>
      </c>
      <c r="G1333" s="4" t="s">
        <v>25</v>
      </c>
      <c r="H1333" s="6">
        <f t="shared" si="20"/>
        <v>32441.789999999997</v>
      </c>
    </row>
    <row r="1334" spans="1:8" x14ac:dyDescent="0.2">
      <c r="A1334" s="2" t="s">
        <v>1403</v>
      </c>
      <c r="B1334" s="2" t="s">
        <v>1398</v>
      </c>
      <c r="C1334" s="2" t="s">
        <v>19</v>
      </c>
      <c r="D1334" s="3">
        <v>4830</v>
      </c>
      <c r="E1334" s="4" t="s">
        <v>20</v>
      </c>
      <c r="F1334" s="5">
        <v>1.43</v>
      </c>
      <c r="G1334" s="4" t="s">
        <v>21</v>
      </c>
      <c r="H1334" s="6">
        <f t="shared" si="20"/>
        <v>6906.9</v>
      </c>
    </row>
    <row r="1335" spans="1:8" x14ac:dyDescent="0.2">
      <c r="A1335" s="2" t="s">
        <v>1404</v>
      </c>
      <c r="B1335" s="2" t="s">
        <v>1398</v>
      </c>
      <c r="C1335" s="2" t="s">
        <v>147</v>
      </c>
      <c r="D1335" s="3">
        <v>1619</v>
      </c>
      <c r="E1335" s="4" t="s">
        <v>53</v>
      </c>
      <c r="F1335" s="5">
        <v>14.21</v>
      </c>
      <c r="G1335" s="4" t="s">
        <v>54</v>
      </c>
      <c r="H1335" s="6">
        <f t="shared" si="20"/>
        <v>23005.99</v>
      </c>
    </row>
    <row r="1336" spans="1:8" x14ac:dyDescent="0.2">
      <c r="A1336" s="2" t="s">
        <v>1405</v>
      </c>
      <c r="B1336" s="2" t="s">
        <v>1398</v>
      </c>
      <c r="C1336" s="2" t="s">
        <v>44</v>
      </c>
      <c r="D1336" s="3">
        <v>2419</v>
      </c>
      <c r="E1336" s="4" t="s">
        <v>24</v>
      </c>
      <c r="F1336" s="5">
        <v>1.21</v>
      </c>
      <c r="G1336" s="4" t="s">
        <v>25</v>
      </c>
      <c r="H1336" s="6">
        <f t="shared" si="20"/>
        <v>2926.99</v>
      </c>
    </row>
    <row r="1337" spans="1:8" x14ac:dyDescent="0.2">
      <c r="A1337" s="2" t="s">
        <v>1406</v>
      </c>
      <c r="B1337" s="2" t="s">
        <v>1398</v>
      </c>
      <c r="C1337" s="2" t="s">
        <v>27</v>
      </c>
      <c r="D1337" s="3">
        <v>1541</v>
      </c>
      <c r="E1337" s="4" t="s">
        <v>20</v>
      </c>
      <c r="F1337" s="5">
        <v>2.35</v>
      </c>
      <c r="G1337" s="4" t="s">
        <v>21</v>
      </c>
      <c r="H1337" s="6">
        <f t="shared" si="20"/>
        <v>3621.3500000000004</v>
      </c>
    </row>
    <row r="1338" spans="1:8" x14ac:dyDescent="0.2">
      <c r="A1338" s="2" t="s">
        <v>1407</v>
      </c>
      <c r="B1338" s="2" t="s">
        <v>1398</v>
      </c>
      <c r="C1338" s="2" t="s">
        <v>78</v>
      </c>
      <c r="D1338" s="3">
        <v>987</v>
      </c>
      <c r="E1338" s="4" t="s">
        <v>38</v>
      </c>
      <c r="F1338" s="5">
        <v>2.14</v>
      </c>
      <c r="G1338" s="4" t="s">
        <v>39</v>
      </c>
      <c r="H1338" s="6">
        <f t="shared" si="20"/>
        <v>2112.1800000000003</v>
      </c>
    </row>
    <row r="1339" spans="1:8" x14ac:dyDescent="0.2">
      <c r="A1339" s="2" t="s">
        <v>1408</v>
      </c>
      <c r="B1339" s="2" t="s">
        <v>1398</v>
      </c>
      <c r="C1339" s="2" t="s">
        <v>52</v>
      </c>
      <c r="D1339" s="3">
        <v>2296</v>
      </c>
      <c r="E1339" s="4" t="s">
        <v>53</v>
      </c>
      <c r="F1339" s="5">
        <v>11.78</v>
      </c>
      <c r="G1339" s="4" t="s">
        <v>54</v>
      </c>
      <c r="H1339" s="6">
        <f t="shared" si="20"/>
        <v>27046.879999999997</v>
      </c>
    </row>
    <row r="1340" spans="1:8" x14ac:dyDescent="0.2">
      <c r="A1340" s="2" t="s">
        <v>1409</v>
      </c>
      <c r="B1340" s="2" t="s">
        <v>1398</v>
      </c>
      <c r="C1340" s="2" t="s">
        <v>89</v>
      </c>
      <c r="D1340" s="3">
        <v>1328</v>
      </c>
      <c r="E1340" s="4" t="s">
        <v>30</v>
      </c>
      <c r="F1340" s="5">
        <v>2.5</v>
      </c>
      <c r="G1340" s="4" t="s">
        <v>31</v>
      </c>
      <c r="H1340" s="6">
        <f t="shared" si="20"/>
        <v>3320</v>
      </c>
    </row>
    <row r="1341" spans="1:8" x14ac:dyDescent="0.2">
      <c r="A1341" s="2" t="s">
        <v>1410</v>
      </c>
      <c r="B1341" s="2" t="s">
        <v>1398</v>
      </c>
      <c r="C1341" s="2" t="s">
        <v>86</v>
      </c>
      <c r="D1341" s="3">
        <v>56</v>
      </c>
      <c r="E1341" s="4" t="s">
        <v>72</v>
      </c>
      <c r="F1341" s="5">
        <v>8262.7900000000009</v>
      </c>
      <c r="G1341" s="4" t="s">
        <v>73</v>
      </c>
      <c r="H1341" s="6">
        <f t="shared" si="20"/>
        <v>462716.24000000005</v>
      </c>
    </row>
    <row r="1342" spans="1:8" x14ac:dyDescent="0.2">
      <c r="A1342" s="2" t="s">
        <v>1411</v>
      </c>
      <c r="B1342" s="2" t="s">
        <v>1398</v>
      </c>
      <c r="C1342" s="2" t="s">
        <v>89</v>
      </c>
      <c r="D1342" s="3">
        <v>337</v>
      </c>
      <c r="E1342" s="4" t="s">
        <v>30</v>
      </c>
      <c r="F1342" s="5">
        <v>1.98</v>
      </c>
      <c r="G1342" s="4" t="s">
        <v>31</v>
      </c>
      <c r="H1342" s="6">
        <f t="shared" si="20"/>
        <v>667.26</v>
      </c>
    </row>
    <row r="1343" spans="1:8" x14ac:dyDescent="0.2">
      <c r="A1343" s="2" t="s">
        <v>1412</v>
      </c>
      <c r="B1343" s="2" t="s">
        <v>1398</v>
      </c>
      <c r="C1343" s="2" t="s">
        <v>57</v>
      </c>
      <c r="D1343" s="3">
        <v>4899</v>
      </c>
      <c r="E1343" s="4" t="s">
        <v>20</v>
      </c>
      <c r="F1343" s="5">
        <v>0.62</v>
      </c>
      <c r="G1343" s="4" t="s">
        <v>21</v>
      </c>
      <c r="H1343" s="6">
        <f t="shared" si="20"/>
        <v>3037.38</v>
      </c>
    </row>
    <row r="1344" spans="1:8" x14ac:dyDescent="0.2">
      <c r="A1344" s="2" t="s">
        <v>1413</v>
      </c>
      <c r="B1344" s="2" t="s">
        <v>1398</v>
      </c>
      <c r="C1344" s="2" t="s">
        <v>147</v>
      </c>
      <c r="D1344" s="3">
        <v>2477</v>
      </c>
      <c r="E1344" s="4" t="s">
        <v>53</v>
      </c>
      <c r="F1344" s="5">
        <v>11.92</v>
      </c>
      <c r="G1344" s="4" t="s">
        <v>54</v>
      </c>
      <c r="H1344" s="6">
        <f t="shared" si="20"/>
        <v>29525.84</v>
      </c>
    </row>
    <row r="1345" spans="1:8" x14ac:dyDescent="0.2">
      <c r="A1345" s="2" t="s">
        <v>1414</v>
      </c>
      <c r="B1345" s="2" t="s">
        <v>1398</v>
      </c>
      <c r="C1345" s="2" t="s">
        <v>46</v>
      </c>
      <c r="D1345" s="3">
        <v>4516</v>
      </c>
      <c r="E1345" s="4" t="s">
        <v>20</v>
      </c>
      <c r="F1345" s="5">
        <v>2.72</v>
      </c>
      <c r="G1345" s="4" t="s">
        <v>21</v>
      </c>
      <c r="H1345" s="6">
        <f t="shared" si="20"/>
        <v>12283.52</v>
      </c>
    </row>
    <row r="1346" spans="1:8" x14ac:dyDescent="0.2">
      <c r="A1346" s="2" t="s">
        <v>1415</v>
      </c>
      <c r="B1346" s="2" t="s">
        <v>1398</v>
      </c>
      <c r="C1346" s="2" t="s">
        <v>57</v>
      </c>
      <c r="D1346" s="3">
        <v>4314</v>
      </c>
      <c r="E1346" s="4" t="s">
        <v>20</v>
      </c>
      <c r="F1346" s="5">
        <v>0.69</v>
      </c>
      <c r="G1346" s="4" t="s">
        <v>21</v>
      </c>
      <c r="H1346" s="6">
        <f t="shared" ref="H1346:H1409" si="21">D1346*F1346</f>
        <v>2976.66</v>
      </c>
    </row>
    <row r="1347" spans="1:8" x14ac:dyDescent="0.2">
      <c r="A1347" s="2" t="s">
        <v>1416</v>
      </c>
      <c r="B1347" s="2" t="s">
        <v>1398</v>
      </c>
      <c r="C1347" s="2" t="s">
        <v>118</v>
      </c>
      <c r="D1347" s="3">
        <v>4274</v>
      </c>
      <c r="E1347" s="4" t="s">
        <v>24</v>
      </c>
      <c r="F1347" s="5">
        <v>0.45</v>
      </c>
      <c r="G1347" s="4" t="s">
        <v>25</v>
      </c>
      <c r="H1347" s="6">
        <f t="shared" si="21"/>
        <v>1923.3</v>
      </c>
    </row>
    <row r="1348" spans="1:8" x14ac:dyDescent="0.2">
      <c r="A1348" s="2" t="s">
        <v>1417</v>
      </c>
      <c r="B1348" s="2" t="s">
        <v>1398</v>
      </c>
      <c r="C1348" s="2" t="s">
        <v>78</v>
      </c>
      <c r="D1348" s="3">
        <v>1315</v>
      </c>
      <c r="E1348" s="4" t="s">
        <v>38</v>
      </c>
      <c r="F1348" s="5">
        <v>2.21</v>
      </c>
      <c r="G1348" s="4" t="s">
        <v>39</v>
      </c>
      <c r="H1348" s="6">
        <f t="shared" si="21"/>
        <v>2906.15</v>
      </c>
    </row>
    <row r="1349" spans="1:8" x14ac:dyDescent="0.2">
      <c r="A1349" s="2" t="s">
        <v>1418</v>
      </c>
      <c r="B1349" s="2" t="s">
        <v>1398</v>
      </c>
      <c r="C1349" s="2" t="s">
        <v>29</v>
      </c>
      <c r="D1349" s="3">
        <v>3314</v>
      </c>
      <c r="E1349" s="4" t="s">
        <v>30</v>
      </c>
      <c r="F1349" s="5">
        <v>1.1100000000000001</v>
      </c>
      <c r="G1349" s="4" t="s">
        <v>31</v>
      </c>
      <c r="H1349" s="6">
        <f t="shared" si="21"/>
        <v>3678.5400000000004</v>
      </c>
    </row>
    <row r="1350" spans="1:8" x14ac:dyDescent="0.2">
      <c r="A1350" s="2" t="s">
        <v>1419</v>
      </c>
      <c r="B1350" s="2" t="s">
        <v>1398</v>
      </c>
      <c r="C1350" s="2" t="s">
        <v>42</v>
      </c>
      <c r="D1350" s="3">
        <v>1757</v>
      </c>
      <c r="E1350" s="4" t="s">
        <v>24</v>
      </c>
      <c r="F1350" s="5">
        <v>5.49</v>
      </c>
      <c r="G1350" s="4" t="s">
        <v>25</v>
      </c>
      <c r="H1350" s="6">
        <f t="shared" si="21"/>
        <v>9645.93</v>
      </c>
    </row>
    <row r="1351" spans="1:8" x14ac:dyDescent="0.2">
      <c r="A1351" s="2" t="s">
        <v>1420</v>
      </c>
      <c r="B1351" s="2" t="s">
        <v>1398</v>
      </c>
      <c r="C1351" s="2" t="s">
        <v>57</v>
      </c>
      <c r="D1351" s="3">
        <v>2965</v>
      </c>
      <c r="E1351" s="4" t="s">
        <v>20</v>
      </c>
      <c r="F1351" s="5">
        <v>0.72</v>
      </c>
      <c r="G1351" s="4" t="s">
        <v>21</v>
      </c>
      <c r="H1351" s="6">
        <f t="shared" si="21"/>
        <v>2134.7999999999997</v>
      </c>
    </row>
    <row r="1352" spans="1:8" x14ac:dyDescent="0.2">
      <c r="A1352" s="2" t="s">
        <v>1421</v>
      </c>
      <c r="B1352" s="2" t="s">
        <v>1398</v>
      </c>
      <c r="C1352" s="2" t="s">
        <v>147</v>
      </c>
      <c r="D1352" s="3">
        <v>4355</v>
      </c>
      <c r="E1352" s="4" t="s">
        <v>53</v>
      </c>
      <c r="F1352" s="5">
        <v>11.8</v>
      </c>
      <c r="G1352" s="4" t="s">
        <v>54</v>
      </c>
      <c r="H1352" s="6">
        <f t="shared" si="21"/>
        <v>51389</v>
      </c>
    </row>
    <row r="1353" spans="1:8" x14ac:dyDescent="0.2">
      <c r="A1353" s="2" t="s">
        <v>1422</v>
      </c>
      <c r="B1353" s="2" t="s">
        <v>1398</v>
      </c>
      <c r="C1353" s="2" t="s">
        <v>29</v>
      </c>
      <c r="D1353" s="3">
        <v>82</v>
      </c>
      <c r="E1353" s="4" t="s">
        <v>30</v>
      </c>
      <c r="F1353" s="5">
        <v>1.1399999999999999</v>
      </c>
      <c r="G1353" s="4" t="s">
        <v>31</v>
      </c>
      <c r="H1353" s="6">
        <f t="shared" si="21"/>
        <v>93.47999999999999</v>
      </c>
    </row>
    <row r="1354" spans="1:8" x14ac:dyDescent="0.2">
      <c r="A1354" s="2" t="s">
        <v>1423</v>
      </c>
      <c r="B1354" s="2" t="s">
        <v>1398</v>
      </c>
      <c r="C1354" s="2" t="s">
        <v>19</v>
      </c>
      <c r="D1354" s="3">
        <v>3660</v>
      </c>
      <c r="E1354" s="4" t="s">
        <v>20</v>
      </c>
      <c r="F1354" s="5">
        <v>1.24</v>
      </c>
      <c r="G1354" s="4" t="s">
        <v>21</v>
      </c>
      <c r="H1354" s="6">
        <f t="shared" si="21"/>
        <v>4538.3999999999996</v>
      </c>
    </row>
    <row r="1355" spans="1:8" x14ac:dyDescent="0.2">
      <c r="A1355" s="2" t="s">
        <v>1424</v>
      </c>
      <c r="B1355" s="2" t="s">
        <v>1398</v>
      </c>
      <c r="C1355" s="2" t="s">
        <v>147</v>
      </c>
      <c r="D1355" s="3">
        <v>2007</v>
      </c>
      <c r="E1355" s="4" t="s">
        <v>53</v>
      </c>
      <c r="F1355" s="5">
        <v>15.67</v>
      </c>
      <c r="G1355" s="4" t="s">
        <v>54</v>
      </c>
      <c r="H1355" s="6">
        <f t="shared" si="21"/>
        <v>31449.69</v>
      </c>
    </row>
    <row r="1356" spans="1:8" x14ac:dyDescent="0.2">
      <c r="A1356" s="2" t="s">
        <v>1425</v>
      </c>
      <c r="B1356" s="2" t="s">
        <v>1398</v>
      </c>
      <c r="C1356" s="2" t="s">
        <v>57</v>
      </c>
      <c r="D1356" s="3">
        <v>3134</v>
      </c>
      <c r="E1356" s="4" t="s">
        <v>20</v>
      </c>
      <c r="F1356" s="5">
        <v>0.97</v>
      </c>
      <c r="G1356" s="4" t="s">
        <v>21</v>
      </c>
      <c r="H1356" s="6">
        <f t="shared" si="21"/>
        <v>3039.98</v>
      </c>
    </row>
    <row r="1357" spans="1:8" x14ac:dyDescent="0.2">
      <c r="A1357" s="2" t="s">
        <v>1426</v>
      </c>
      <c r="B1357" s="2" t="s">
        <v>1398</v>
      </c>
      <c r="C1357" s="2" t="s">
        <v>50</v>
      </c>
      <c r="D1357" s="3">
        <v>3171</v>
      </c>
      <c r="E1357" s="4" t="s">
        <v>20</v>
      </c>
      <c r="F1357" s="5">
        <v>0.85</v>
      </c>
      <c r="G1357" s="4" t="s">
        <v>21</v>
      </c>
      <c r="H1357" s="6">
        <f t="shared" si="21"/>
        <v>2695.35</v>
      </c>
    </row>
    <row r="1358" spans="1:8" x14ac:dyDescent="0.2">
      <c r="A1358" s="2" t="s">
        <v>1427</v>
      </c>
      <c r="B1358" s="2" t="s">
        <v>1398</v>
      </c>
      <c r="C1358" s="2" t="s">
        <v>71</v>
      </c>
      <c r="D1358" s="3">
        <v>212</v>
      </c>
      <c r="E1358" s="4" t="s">
        <v>72</v>
      </c>
      <c r="F1358" s="5">
        <v>2946.8</v>
      </c>
      <c r="G1358" s="4" t="s">
        <v>73</v>
      </c>
      <c r="H1358" s="6">
        <f t="shared" si="21"/>
        <v>624721.60000000009</v>
      </c>
    </row>
    <row r="1359" spans="1:8" x14ac:dyDescent="0.2">
      <c r="A1359" s="2" t="s">
        <v>1428</v>
      </c>
      <c r="B1359" s="2" t="s">
        <v>1398</v>
      </c>
      <c r="C1359" s="2" t="s">
        <v>19</v>
      </c>
      <c r="D1359" s="3">
        <v>4223</v>
      </c>
      <c r="E1359" s="4" t="s">
        <v>20</v>
      </c>
      <c r="F1359" s="5">
        <v>1.58</v>
      </c>
      <c r="G1359" s="4" t="s">
        <v>21</v>
      </c>
      <c r="H1359" s="6">
        <f t="shared" si="21"/>
        <v>6672.34</v>
      </c>
    </row>
    <row r="1360" spans="1:8" x14ac:dyDescent="0.2">
      <c r="A1360" s="2" t="s">
        <v>1429</v>
      </c>
      <c r="B1360" s="2" t="s">
        <v>1398</v>
      </c>
      <c r="C1360" s="2" t="s">
        <v>23</v>
      </c>
      <c r="D1360" s="3">
        <v>3997</v>
      </c>
      <c r="E1360" s="4" t="s">
        <v>24</v>
      </c>
      <c r="F1360" s="5">
        <v>12.26</v>
      </c>
      <c r="G1360" s="4" t="s">
        <v>25</v>
      </c>
      <c r="H1360" s="6">
        <f t="shared" si="21"/>
        <v>49003.22</v>
      </c>
    </row>
    <row r="1361" spans="1:8" x14ac:dyDescent="0.2">
      <c r="A1361" s="2" t="s">
        <v>1430</v>
      </c>
      <c r="B1361" s="2" t="s">
        <v>1398</v>
      </c>
      <c r="C1361" s="2" t="s">
        <v>44</v>
      </c>
      <c r="D1361" s="3">
        <v>2634</v>
      </c>
      <c r="E1361" s="4" t="s">
        <v>24</v>
      </c>
      <c r="F1361" s="5">
        <v>1.26</v>
      </c>
      <c r="G1361" s="4" t="s">
        <v>25</v>
      </c>
      <c r="H1361" s="6">
        <f t="shared" si="21"/>
        <v>3318.84</v>
      </c>
    </row>
    <row r="1362" spans="1:8" x14ac:dyDescent="0.2">
      <c r="A1362" s="2" t="s">
        <v>1431</v>
      </c>
      <c r="B1362" s="2" t="s">
        <v>1398</v>
      </c>
      <c r="C1362" s="2" t="s">
        <v>50</v>
      </c>
      <c r="D1362" s="3">
        <v>1381</v>
      </c>
      <c r="E1362" s="4" t="s">
        <v>20</v>
      </c>
      <c r="F1362" s="5">
        <v>1.28</v>
      </c>
      <c r="G1362" s="4" t="s">
        <v>21</v>
      </c>
      <c r="H1362" s="6">
        <f t="shared" si="21"/>
        <v>1767.68</v>
      </c>
    </row>
    <row r="1363" spans="1:8" x14ac:dyDescent="0.2">
      <c r="A1363" s="2" t="s">
        <v>1432</v>
      </c>
      <c r="B1363" s="2" t="s">
        <v>1398</v>
      </c>
      <c r="C1363" s="2" t="s">
        <v>29</v>
      </c>
      <c r="D1363" s="3">
        <v>4378</v>
      </c>
      <c r="E1363" s="4" t="s">
        <v>30</v>
      </c>
      <c r="F1363" s="5">
        <v>1.01</v>
      </c>
      <c r="G1363" s="4" t="s">
        <v>31</v>
      </c>
      <c r="H1363" s="6">
        <f t="shared" si="21"/>
        <v>4421.78</v>
      </c>
    </row>
    <row r="1364" spans="1:8" x14ac:dyDescent="0.2">
      <c r="A1364" s="2" t="s">
        <v>1433</v>
      </c>
      <c r="B1364" s="2" t="s">
        <v>1398</v>
      </c>
      <c r="C1364" s="2" t="s">
        <v>27</v>
      </c>
      <c r="D1364" s="3">
        <v>1736</v>
      </c>
      <c r="E1364" s="4" t="s">
        <v>20</v>
      </c>
      <c r="F1364" s="5">
        <v>2</v>
      </c>
      <c r="G1364" s="4" t="s">
        <v>21</v>
      </c>
      <c r="H1364" s="6">
        <f t="shared" si="21"/>
        <v>3472</v>
      </c>
    </row>
    <row r="1365" spans="1:8" x14ac:dyDescent="0.2">
      <c r="A1365" s="2" t="s">
        <v>1434</v>
      </c>
      <c r="B1365" s="2" t="s">
        <v>1398</v>
      </c>
      <c r="C1365" s="2" t="s">
        <v>44</v>
      </c>
      <c r="D1365" s="3">
        <v>3485</v>
      </c>
      <c r="E1365" s="4" t="s">
        <v>24</v>
      </c>
      <c r="F1365" s="5">
        <v>1.48</v>
      </c>
      <c r="G1365" s="4" t="s">
        <v>25</v>
      </c>
      <c r="H1365" s="6">
        <f t="shared" si="21"/>
        <v>5157.8</v>
      </c>
    </row>
    <row r="1366" spans="1:8" x14ac:dyDescent="0.2">
      <c r="A1366" s="2" t="s">
        <v>1435</v>
      </c>
      <c r="B1366" s="2" t="s">
        <v>1398</v>
      </c>
      <c r="C1366" s="2" t="s">
        <v>44</v>
      </c>
      <c r="D1366" s="3">
        <v>4415</v>
      </c>
      <c r="E1366" s="4" t="s">
        <v>24</v>
      </c>
      <c r="F1366" s="5">
        <v>1.48</v>
      </c>
      <c r="G1366" s="4" t="s">
        <v>25</v>
      </c>
      <c r="H1366" s="6">
        <f t="shared" si="21"/>
        <v>6534.2</v>
      </c>
    </row>
    <row r="1367" spans="1:8" x14ac:dyDescent="0.2">
      <c r="A1367" s="2" t="s">
        <v>1436</v>
      </c>
      <c r="B1367" s="2" t="s">
        <v>1398</v>
      </c>
      <c r="C1367" s="2" t="s">
        <v>52</v>
      </c>
      <c r="D1367" s="3">
        <v>600</v>
      </c>
      <c r="E1367" s="4" t="s">
        <v>53</v>
      </c>
      <c r="F1367" s="5">
        <v>12.73</v>
      </c>
      <c r="G1367" s="4" t="s">
        <v>54</v>
      </c>
      <c r="H1367" s="6">
        <f t="shared" si="21"/>
        <v>7638</v>
      </c>
    </row>
    <row r="1368" spans="1:8" x14ac:dyDescent="0.2">
      <c r="A1368" s="2" t="s">
        <v>1437</v>
      </c>
      <c r="B1368" s="2" t="s">
        <v>1398</v>
      </c>
      <c r="C1368" s="2" t="s">
        <v>89</v>
      </c>
      <c r="D1368" s="3">
        <v>204</v>
      </c>
      <c r="E1368" s="4" t="s">
        <v>30</v>
      </c>
      <c r="F1368" s="5">
        <v>2.35</v>
      </c>
      <c r="G1368" s="4" t="s">
        <v>31</v>
      </c>
      <c r="H1368" s="6">
        <f t="shared" si="21"/>
        <v>479.40000000000003</v>
      </c>
    </row>
    <row r="1369" spans="1:8" x14ac:dyDescent="0.2">
      <c r="A1369" s="2" t="s">
        <v>1438</v>
      </c>
      <c r="B1369" s="2" t="s">
        <v>1398</v>
      </c>
      <c r="C1369" s="2" t="s">
        <v>57</v>
      </c>
      <c r="D1369" s="3">
        <v>320</v>
      </c>
      <c r="E1369" s="4" t="s">
        <v>20</v>
      </c>
      <c r="F1369" s="5">
        <v>0.64</v>
      </c>
      <c r="G1369" s="4" t="s">
        <v>21</v>
      </c>
      <c r="H1369" s="6">
        <f t="shared" si="21"/>
        <v>204.8</v>
      </c>
    </row>
    <row r="1370" spans="1:8" x14ac:dyDescent="0.2">
      <c r="A1370" s="2" t="s">
        <v>1439</v>
      </c>
      <c r="B1370" s="2" t="s">
        <v>1398</v>
      </c>
      <c r="C1370" s="2" t="s">
        <v>37</v>
      </c>
      <c r="D1370" s="3">
        <v>1468</v>
      </c>
      <c r="E1370" s="4" t="s">
        <v>38</v>
      </c>
      <c r="F1370" s="5">
        <v>4.38</v>
      </c>
      <c r="G1370" s="4" t="s">
        <v>39</v>
      </c>
      <c r="H1370" s="6">
        <f t="shared" si="21"/>
        <v>6429.84</v>
      </c>
    </row>
    <row r="1371" spans="1:8" x14ac:dyDescent="0.2">
      <c r="A1371" s="2" t="s">
        <v>1440</v>
      </c>
      <c r="B1371" s="2" t="s">
        <v>1398</v>
      </c>
      <c r="C1371" s="2" t="s">
        <v>29</v>
      </c>
      <c r="D1371" s="3">
        <v>587</v>
      </c>
      <c r="E1371" s="4" t="s">
        <v>30</v>
      </c>
      <c r="F1371" s="5">
        <v>1.69</v>
      </c>
      <c r="G1371" s="4" t="s">
        <v>31</v>
      </c>
      <c r="H1371" s="6">
        <f t="shared" si="21"/>
        <v>992.03</v>
      </c>
    </row>
    <row r="1372" spans="1:8" x14ac:dyDescent="0.2">
      <c r="A1372" s="2" t="s">
        <v>1441</v>
      </c>
      <c r="B1372" s="2" t="s">
        <v>1398</v>
      </c>
      <c r="C1372" s="2" t="s">
        <v>42</v>
      </c>
      <c r="D1372" s="3">
        <v>2128</v>
      </c>
      <c r="E1372" s="4" t="s">
        <v>24</v>
      </c>
      <c r="F1372" s="5">
        <v>4.72</v>
      </c>
      <c r="G1372" s="4" t="s">
        <v>25</v>
      </c>
      <c r="H1372" s="6">
        <f t="shared" si="21"/>
        <v>10044.16</v>
      </c>
    </row>
    <row r="1373" spans="1:8" x14ac:dyDescent="0.2">
      <c r="A1373" s="2" t="s">
        <v>1442</v>
      </c>
      <c r="B1373" s="2" t="s">
        <v>1398</v>
      </c>
      <c r="C1373" s="2" t="s">
        <v>23</v>
      </c>
      <c r="D1373" s="3">
        <v>3323</v>
      </c>
      <c r="E1373" s="4" t="s">
        <v>24</v>
      </c>
      <c r="F1373" s="5">
        <v>14.6</v>
      </c>
      <c r="G1373" s="4" t="s">
        <v>25</v>
      </c>
      <c r="H1373" s="6">
        <f t="shared" si="21"/>
        <v>48515.799999999996</v>
      </c>
    </row>
    <row r="1374" spans="1:8" x14ac:dyDescent="0.2">
      <c r="A1374" s="2" t="s">
        <v>1443</v>
      </c>
      <c r="B1374" s="2" t="s">
        <v>1398</v>
      </c>
      <c r="C1374" s="2" t="s">
        <v>33</v>
      </c>
      <c r="D1374" s="3">
        <v>3200</v>
      </c>
      <c r="E1374" s="4" t="s">
        <v>34</v>
      </c>
      <c r="F1374" s="5">
        <v>5.18</v>
      </c>
      <c r="G1374" s="4" t="s">
        <v>35</v>
      </c>
      <c r="H1374" s="6">
        <f t="shared" si="21"/>
        <v>16576</v>
      </c>
    </row>
    <row r="1375" spans="1:8" x14ac:dyDescent="0.2">
      <c r="A1375" s="2" t="s">
        <v>1444</v>
      </c>
      <c r="B1375" s="2" t="s">
        <v>1398</v>
      </c>
      <c r="C1375" s="2" t="s">
        <v>29</v>
      </c>
      <c r="D1375" s="3">
        <v>58</v>
      </c>
      <c r="E1375" s="4" t="s">
        <v>30</v>
      </c>
      <c r="F1375" s="5">
        <v>1.77</v>
      </c>
      <c r="G1375" s="4" t="s">
        <v>31</v>
      </c>
      <c r="H1375" s="6">
        <f t="shared" si="21"/>
        <v>102.66</v>
      </c>
    </row>
    <row r="1376" spans="1:8" x14ac:dyDescent="0.2">
      <c r="A1376" s="2" t="s">
        <v>1445</v>
      </c>
      <c r="B1376" s="2" t="s">
        <v>1446</v>
      </c>
      <c r="C1376" s="2" t="s">
        <v>147</v>
      </c>
      <c r="D1376" s="3">
        <v>528</v>
      </c>
      <c r="E1376" s="4" t="s">
        <v>53</v>
      </c>
      <c r="F1376" s="5">
        <v>14.05</v>
      </c>
      <c r="G1376" s="4" t="s">
        <v>54</v>
      </c>
      <c r="H1376" s="6">
        <f t="shared" si="21"/>
        <v>7418.4000000000005</v>
      </c>
    </row>
    <row r="1377" spans="1:8" x14ac:dyDescent="0.2">
      <c r="A1377" s="2" t="s">
        <v>1447</v>
      </c>
      <c r="B1377" s="2" t="s">
        <v>1446</v>
      </c>
      <c r="C1377" s="2" t="s">
        <v>46</v>
      </c>
      <c r="D1377" s="3">
        <v>382</v>
      </c>
      <c r="E1377" s="4" t="s">
        <v>20</v>
      </c>
      <c r="F1377" s="5">
        <v>3.4</v>
      </c>
      <c r="G1377" s="4" t="s">
        <v>21</v>
      </c>
      <c r="H1377" s="6">
        <f t="shared" si="21"/>
        <v>1298.8</v>
      </c>
    </row>
    <row r="1378" spans="1:8" x14ac:dyDescent="0.2">
      <c r="A1378" s="2" t="s">
        <v>1448</v>
      </c>
      <c r="B1378" s="2" t="s">
        <v>1446</v>
      </c>
      <c r="C1378" s="2" t="s">
        <v>27</v>
      </c>
      <c r="D1378" s="3">
        <v>2940</v>
      </c>
      <c r="E1378" s="4" t="s">
        <v>20</v>
      </c>
      <c r="F1378" s="5">
        <v>2.31</v>
      </c>
      <c r="G1378" s="4" t="s">
        <v>21</v>
      </c>
      <c r="H1378" s="6">
        <f t="shared" si="21"/>
        <v>6791.4000000000005</v>
      </c>
    </row>
    <row r="1379" spans="1:8" x14ac:dyDescent="0.2">
      <c r="A1379" s="2" t="s">
        <v>1449</v>
      </c>
      <c r="B1379" s="2" t="s">
        <v>1446</v>
      </c>
      <c r="C1379" s="2" t="s">
        <v>50</v>
      </c>
      <c r="D1379" s="3">
        <v>2384</v>
      </c>
      <c r="E1379" s="4" t="s">
        <v>20</v>
      </c>
      <c r="F1379" s="5">
        <v>1.17</v>
      </c>
      <c r="G1379" s="4" t="s">
        <v>21</v>
      </c>
      <c r="H1379" s="6">
        <f t="shared" si="21"/>
        <v>2789.2799999999997</v>
      </c>
    </row>
    <row r="1380" spans="1:8" x14ac:dyDescent="0.2">
      <c r="A1380" s="2" t="s">
        <v>1450</v>
      </c>
      <c r="B1380" s="2" t="s">
        <v>1446</v>
      </c>
      <c r="C1380" s="2" t="s">
        <v>71</v>
      </c>
      <c r="D1380" s="3">
        <v>4978</v>
      </c>
      <c r="E1380" s="4" t="s">
        <v>72</v>
      </c>
      <c r="F1380" s="5">
        <v>2451.9</v>
      </c>
      <c r="G1380" s="4" t="s">
        <v>73</v>
      </c>
      <c r="H1380" s="6">
        <f t="shared" si="21"/>
        <v>12205558.200000001</v>
      </c>
    </row>
    <row r="1381" spans="1:8" x14ac:dyDescent="0.2">
      <c r="A1381" s="2" t="s">
        <v>1451</v>
      </c>
      <c r="B1381" s="2" t="s">
        <v>1446</v>
      </c>
      <c r="C1381" s="2" t="s">
        <v>23</v>
      </c>
      <c r="D1381" s="3">
        <v>3134</v>
      </c>
      <c r="E1381" s="4" t="s">
        <v>24</v>
      </c>
      <c r="F1381" s="5">
        <v>14.37</v>
      </c>
      <c r="G1381" s="4" t="s">
        <v>25</v>
      </c>
      <c r="H1381" s="6">
        <f t="shared" si="21"/>
        <v>45035.579999999994</v>
      </c>
    </row>
    <row r="1382" spans="1:8" x14ac:dyDescent="0.2">
      <c r="A1382" s="2" t="s">
        <v>1452</v>
      </c>
      <c r="B1382" s="2" t="s">
        <v>1446</v>
      </c>
      <c r="C1382" s="2" t="s">
        <v>33</v>
      </c>
      <c r="D1382" s="3">
        <v>3892</v>
      </c>
      <c r="E1382" s="4" t="s">
        <v>34</v>
      </c>
      <c r="F1382" s="5">
        <v>3.89</v>
      </c>
      <c r="G1382" s="4" t="s">
        <v>35</v>
      </c>
      <c r="H1382" s="6">
        <f t="shared" si="21"/>
        <v>15139.880000000001</v>
      </c>
    </row>
    <row r="1383" spans="1:8" x14ac:dyDescent="0.2">
      <c r="A1383" s="2" t="s">
        <v>1453</v>
      </c>
      <c r="B1383" s="2" t="s">
        <v>1446</v>
      </c>
      <c r="C1383" s="2" t="s">
        <v>42</v>
      </c>
      <c r="D1383" s="3">
        <v>1127</v>
      </c>
      <c r="E1383" s="4" t="s">
        <v>24</v>
      </c>
      <c r="F1383" s="5">
        <v>5.74</v>
      </c>
      <c r="G1383" s="4" t="s">
        <v>25</v>
      </c>
      <c r="H1383" s="6">
        <f t="shared" si="21"/>
        <v>6468.9800000000005</v>
      </c>
    </row>
    <row r="1384" spans="1:8" x14ac:dyDescent="0.2">
      <c r="A1384" s="2" t="s">
        <v>1454</v>
      </c>
      <c r="B1384" s="2" t="s">
        <v>1446</v>
      </c>
      <c r="C1384" s="2" t="s">
        <v>29</v>
      </c>
      <c r="D1384" s="3">
        <v>2426</v>
      </c>
      <c r="E1384" s="4" t="s">
        <v>30</v>
      </c>
      <c r="F1384" s="5">
        <v>2.15</v>
      </c>
      <c r="G1384" s="4" t="s">
        <v>31</v>
      </c>
      <c r="H1384" s="6">
        <f t="shared" si="21"/>
        <v>5215.8999999999996</v>
      </c>
    </row>
    <row r="1385" spans="1:8" x14ac:dyDescent="0.2">
      <c r="A1385" s="2" t="s">
        <v>1455</v>
      </c>
      <c r="B1385" s="2" t="s">
        <v>1446</v>
      </c>
      <c r="C1385" s="2" t="s">
        <v>89</v>
      </c>
      <c r="D1385" s="3">
        <v>2451</v>
      </c>
      <c r="E1385" s="4" t="s">
        <v>30</v>
      </c>
      <c r="F1385" s="5">
        <v>2.61</v>
      </c>
      <c r="G1385" s="4" t="s">
        <v>31</v>
      </c>
      <c r="H1385" s="6">
        <f t="shared" si="21"/>
        <v>6397.11</v>
      </c>
    </row>
    <row r="1386" spans="1:8" x14ac:dyDescent="0.2">
      <c r="A1386" s="2" t="s">
        <v>1456</v>
      </c>
      <c r="B1386" s="2" t="s">
        <v>1446</v>
      </c>
      <c r="C1386" s="2" t="s">
        <v>19</v>
      </c>
      <c r="D1386" s="3">
        <v>101</v>
      </c>
      <c r="E1386" s="4" t="s">
        <v>20</v>
      </c>
      <c r="F1386" s="5">
        <v>1.43</v>
      </c>
      <c r="G1386" s="4" t="s">
        <v>21</v>
      </c>
      <c r="H1386" s="6">
        <f t="shared" si="21"/>
        <v>144.43</v>
      </c>
    </row>
    <row r="1387" spans="1:8" x14ac:dyDescent="0.2">
      <c r="A1387" s="2" t="s">
        <v>1457</v>
      </c>
      <c r="B1387" s="2" t="s">
        <v>1446</v>
      </c>
      <c r="C1387" s="2" t="s">
        <v>29</v>
      </c>
      <c r="D1387" s="3">
        <v>1168</v>
      </c>
      <c r="E1387" s="4" t="s">
        <v>30</v>
      </c>
      <c r="F1387" s="5">
        <v>1.1499999999999999</v>
      </c>
      <c r="G1387" s="4" t="s">
        <v>31</v>
      </c>
      <c r="H1387" s="6">
        <f t="shared" si="21"/>
        <v>1343.1999999999998</v>
      </c>
    </row>
    <row r="1388" spans="1:8" x14ac:dyDescent="0.2">
      <c r="A1388" s="2" t="s">
        <v>1458</v>
      </c>
      <c r="B1388" s="2" t="s">
        <v>1446</v>
      </c>
      <c r="C1388" s="2" t="s">
        <v>33</v>
      </c>
      <c r="D1388" s="3">
        <v>4701</v>
      </c>
      <c r="E1388" s="4" t="s">
        <v>34</v>
      </c>
      <c r="F1388" s="5">
        <v>4.99</v>
      </c>
      <c r="G1388" s="4" t="s">
        <v>35</v>
      </c>
      <c r="H1388" s="6">
        <f t="shared" si="21"/>
        <v>23457.99</v>
      </c>
    </row>
    <row r="1389" spans="1:8" x14ac:dyDescent="0.2">
      <c r="A1389" s="2" t="s">
        <v>1459</v>
      </c>
      <c r="B1389" s="2" t="s">
        <v>1446</v>
      </c>
      <c r="C1389" s="2" t="s">
        <v>29</v>
      </c>
      <c r="D1389" s="3">
        <v>4495</v>
      </c>
      <c r="E1389" s="4" t="s">
        <v>30</v>
      </c>
      <c r="F1389" s="5">
        <v>2.14</v>
      </c>
      <c r="G1389" s="4" t="s">
        <v>31</v>
      </c>
      <c r="H1389" s="6">
        <f t="shared" si="21"/>
        <v>9619.3000000000011</v>
      </c>
    </row>
    <row r="1390" spans="1:8" x14ac:dyDescent="0.2">
      <c r="A1390" s="2" t="s">
        <v>1460</v>
      </c>
      <c r="B1390" s="2" t="s">
        <v>1446</v>
      </c>
      <c r="C1390" s="2" t="s">
        <v>71</v>
      </c>
      <c r="D1390" s="3">
        <v>1730</v>
      </c>
      <c r="E1390" s="4" t="s">
        <v>72</v>
      </c>
      <c r="F1390" s="5">
        <v>2848.98</v>
      </c>
      <c r="G1390" s="4" t="s">
        <v>73</v>
      </c>
      <c r="H1390" s="6">
        <f t="shared" si="21"/>
        <v>4928735.4000000004</v>
      </c>
    </row>
    <row r="1391" spans="1:8" x14ac:dyDescent="0.2">
      <c r="A1391" s="2" t="s">
        <v>1461</v>
      </c>
      <c r="B1391" s="2" t="s">
        <v>1446</v>
      </c>
      <c r="C1391" s="2" t="s">
        <v>19</v>
      </c>
      <c r="D1391" s="3">
        <v>1744</v>
      </c>
      <c r="E1391" s="4" t="s">
        <v>20</v>
      </c>
      <c r="F1391" s="5">
        <v>1.35</v>
      </c>
      <c r="G1391" s="4" t="s">
        <v>21</v>
      </c>
      <c r="H1391" s="6">
        <f t="shared" si="21"/>
        <v>2354.4</v>
      </c>
    </row>
    <row r="1392" spans="1:8" x14ac:dyDescent="0.2">
      <c r="A1392" s="2" t="s">
        <v>1462</v>
      </c>
      <c r="B1392" s="2" t="s">
        <v>1446</v>
      </c>
      <c r="C1392" s="2" t="s">
        <v>78</v>
      </c>
      <c r="D1392" s="3">
        <v>1176</v>
      </c>
      <c r="E1392" s="4" t="s">
        <v>38</v>
      </c>
      <c r="F1392" s="5">
        <v>1.77</v>
      </c>
      <c r="G1392" s="4" t="s">
        <v>39</v>
      </c>
      <c r="H1392" s="6">
        <f t="shared" si="21"/>
        <v>2081.52</v>
      </c>
    </row>
    <row r="1393" spans="1:8" x14ac:dyDescent="0.2">
      <c r="A1393" s="2" t="s">
        <v>1463</v>
      </c>
      <c r="B1393" s="2" t="s">
        <v>1446</v>
      </c>
      <c r="C1393" s="2" t="s">
        <v>42</v>
      </c>
      <c r="D1393" s="3">
        <v>2080</v>
      </c>
      <c r="E1393" s="4" t="s">
        <v>24</v>
      </c>
      <c r="F1393" s="5">
        <v>4.08</v>
      </c>
      <c r="G1393" s="4" t="s">
        <v>25</v>
      </c>
      <c r="H1393" s="6">
        <f t="shared" si="21"/>
        <v>8486.4</v>
      </c>
    </row>
    <row r="1394" spans="1:8" x14ac:dyDescent="0.2">
      <c r="A1394" s="2" t="s">
        <v>1464</v>
      </c>
      <c r="B1394" s="2" t="s">
        <v>1446</v>
      </c>
      <c r="C1394" s="2" t="s">
        <v>118</v>
      </c>
      <c r="D1394" s="3">
        <v>4657</v>
      </c>
      <c r="E1394" s="4" t="s">
        <v>24</v>
      </c>
      <c r="F1394" s="5">
        <v>1</v>
      </c>
      <c r="G1394" s="4" t="s">
        <v>25</v>
      </c>
      <c r="H1394" s="6">
        <f t="shared" si="21"/>
        <v>4657</v>
      </c>
    </row>
    <row r="1395" spans="1:8" x14ac:dyDescent="0.2">
      <c r="A1395" s="2" t="s">
        <v>1465</v>
      </c>
      <c r="B1395" s="2" t="s">
        <v>1446</v>
      </c>
      <c r="C1395" s="2" t="s">
        <v>29</v>
      </c>
      <c r="D1395" s="3">
        <v>3788</v>
      </c>
      <c r="E1395" s="4" t="s">
        <v>30</v>
      </c>
      <c r="F1395" s="5">
        <v>1.77</v>
      </c>
      <c r="G1395" s="4" t="s">
        <v>31</v>
      </c>
      <c r="H1395" s="6">
        <f t="shared" si="21"/>
        <v>6704.76</v>
      </c>
    </row>
    <row r="1396" spans="1:8" x14ac:dyDescent="0.2">
      <c r="A1396" s="2" t="s">
        <v>1466</v>
      </c>
      <c r="B1396" s="2" t="s">
        <v>1446</v>
      </c>
      <c r="C1396" s="2" t="s">
        <v>27</v>
      </c>
      <c r="D1396" s="3">
        <v>2391</v>
      </c>
      <c r="E1396" s="4" t="s">
        <v>20</v>
      </c>
      <c r="F1396" s="5">
        <v>2.0099999999999998</v>
      </c>
      <c r="G1396" s="4" t="s">
        <v>21</v>
      </c>
      <c r="H1396" s="6">
        <f t="shared" si="21"/>
        <v>4805.91</v>
      </c>
    </row>
    <row r="1397" spans="1:8" x14ac:dyDescent="0.2">
      <c r="A1397" s="2" t="s">
        <v>1467</v>
      </c>
      <c r="B1397" s="2" t="s">
        <v>1446</v>
      </c>
      <c r="C1397" s="2" t="s">
        <v>86</v>
      </c>
      <c r="D1397" s="3">
        <v>814</v>
      </c>
      <c r="E1397" s="4" t="s">
        <v>72</v>
      </c>
      <c r="F1397" s="5">
        <v>8076.38</v>
      </c>
      <c r="G1397" s="4" t="s">
        <v>73</v>
      </c>
      <c r="H1397" s="6">
        <f t="shared" si="21"/>
        <v>6574173.3200000003</v>
      </c>
    </row>
    <row r="1398" spans="1:8" x14ac:dyDescent="0.2">
      <c r="A1398" s="2" t="s">
        <v>1468</v>
      </c>
      <c r="B1398" s="2" t="s">
        <v>1446</v>
      </c>
      <c r="C1398" s="2" t="s">
        <v>46</v>
      </c>
      <c r="D1398" s="3">
        <v>4001</v>
      </c>
      <c r="E1398" s="4" t="s">
        <v>20</v>
      </c>
      <c r="F1398" s="5">
        <v>3.9</v>
      </c>
      <c r="G1398" s="4" t="s">
        <v>21</v>
      </c>
      <c r="H1398" s="6">
        <f t="shared" si="21"/>
        <v>15603.9</v>
      </c>
    </row>
    <row r="1399" spans="1:8" x14ac:dyDescent="0.2">
      <c r="A1399" s="2" t="s">
        <v>1469</v>
      </c>
      <c r="B1399" s="2" t="s">
        <v>1446</v>
      </c>
      <c r="C1399" s="2" t="s">
        <v>19</v>
      </c>
      <c r="D1399" s="3">
        <v>1060</v>
      </c>
      <c r="E1399" s="4" t="s">
        <v>20</v>
      </c>
      <c r="F1399" s="5">
        <v>1.5</v>
      </c>
      <c r="G1399" s="4" t="s">
        <v>21</v>
      </c>
      <c r="H1399" s="6">
        <f t="shared" si="21"/>
        <v>1590</v>
      </c>
    </row>
    <row r="1400" spans="1:8" x14ac:dyDescent="0.2">
      <c r="A1400" s="2" t="s">
        <v>1470</v>
      </c>
      <c r="B1400" s="2" t="s">
        <v>1446</v>
      </c>
      <c r="C1400" s="2" t="s">
        <v>42</v>
      </c>
      <c r="D1400" s="3">
        <v>829</v>
      </c>
      <c r="E1400" s="4" t="s">
        <v>24</v>
      </c>
      <c r="F1400" s="5">
        <v>4.3600000000000003</v>
      </c>
      <c r="G1400" s="4" t="s">
        <v>25</v>
      </c>
      <c r="H1400" s="6">
        <f t="shared" si="21"/>
        <v>3614.44</v>
      </c>
    </row>
    <row r="1401" spans="1:8" x14ac:dyDescent="0.2">
      <c r="A1401" s="2" t="s">
        <v>1471</v>
      </c>
      <c r="B1401" s="2" t="s">
        <v>1446</v>
      </c>
      <c r="C1401" s="2" t="s">
        <v>27</v>
      </c>
      <c r="D1401" s="3">
        <v>1595</v>
      </c>
      <c r="E1401" s="4" t="s">
        <v>20</v>
      </c>
      <c r="F1401" s="5">
        <v>1.58</v>
      </c>
      <c r="G1401" s="4" t="s">
        <v>21</v>
      </c>
      <c r="H1401" s="6">
        <f t="shared" si="21"/>
        <v>2520.1</v>
      </c>
    </row>
    <row r="1402" spans="1:8" x14ac:dyDescent="0.2">
      <c r="A1402" s="2" t="s">
        <v>1472</v>
      </c>
      <c r="B1402" s="2" t="s">
        <v>1446</v>
      </c>
      <c r="C1402" s="2" t="s">
        <v>23</v>
      </c>
      <c r="D1402" s="3">
        <v>2699</v>
      </c>
      <c r="E1402" s="4" t="s">
        <v>24</v>
      </c>
      <c r="F1402" s="5">
        <v>15.7</v>
      </c>
      <c r="G1402" s="4" t="s">
        <v>25</v>
      </c>
      <c r="H1402" s="6">
        <f t="shared" si="21"/>
        <v>42374.299999999996</v>
      </c>
    </row>
    <row r="1403" spans="1:8" x14ac:dyDescent="0.2">
      <c r="A1403" s="2" t="s">
        <v>1473</v>
      </c>
      <c r="B1403" s="2" t="s">
        <v>1446</v>
      </c>
      <c r="C1403" s="2" t="s">
        <v>71</v>
      </c>
      <c r="D1403" s="3">
        <v>4795</v>
      </c>
      <c r="E1403" s="4" t="s">
        <v>72</v>
      </c>
      <c r="F1403" s="5">
        <v>2491.44</v>
      </c>
      <c r="G1403" s="4" t="s">
        <v>73</v>
      </c>
      <c r="H1403" s="6">
        <f t="shared" si="21"/>
        <v>11946454.800000001</v>
      </c>
    </row>
    <row r="1404" spans="1:8" x14ac:dyDescent="0.2">
      <c r="A1404" s="2" t="s">
        <v>1474</v>
      </c>
      <c r="B1404" s="2" t="s">
        <v>1446</v>
      </c>
      <c r="C1404" s="2" t="s">
        <v>46</v>
      </c>
      <c r="D1404" s="3">
        <v>2995</v>
      </c>
      <c r="E1404" s="4" t="s">
        <v>20</v>
      </c>
      <c r="F1404" s="5">
        <v>3.62</v>
      </c>
      <c r="G1404" s="4" t="s">
        <v>21</v>
      </c>
      <c r="H1404" s="6">
        <f t="shared" si="21"/>
        <v>10841.9</v>
      </c>
    </row>
    <row r="1405" spans="1:8" x14ac:dyDescent="0.2">
      <c r="A1405" s="2" t="s">
        <v>1475</v>
      </c>
      <c r="B1405" s="2" t="s">
        <v>1446</v>
      </c>
      <c r="C1405" s="2" t="s">
        <v>52</v>
      </c>
      <c r="D1405" s="3">
        <v>1391</v>
      </c>
      <c r="E1405" s="4" t="s">
        <v>53</v>
      </c>
      <c r="F1405" s="5">
        <v>9.02</v>
      </c>
      <c r="G1405" s="4" t="s">
        <v>54</v>
      </c>
      <c r="H1405" s="6">
        <f t="shared" si="21"/>
        <v>12546.82</v>
      </c>
    </row>
    <row r="1406" spans="1:8" x14ac:dyDescent="0.2">
      <c r="A1406" s="2" t="s">
        <v>1476</v>
      </c>
      <c r="B1406" s="2" t="s">
        <v>1446</v>
      </c>
      <c r="C1406" s="2" t="s">
        <v>42</v>
      </c>
      <c r="D1406" s="3">
        <v>1824</v>
      </c>
      <c r="E1406" s="4" t="s">
        <v>24</v>
      </c>
      <c r="F1406" s="5">
        <v>5.64</v>
      </c>
      <c r="G1406" s="4" t="s">
        <v>25</v>
      </c>
      <c r="H1406" s="6">
        <f t="shared" si="21"/>
        <v>10287.359999999999</v>
      </c>
    </row>
    <row r="1407" spans="1:8" x14ac:dyDescent="0.2">
      <c r="A1407" s="2" t="s">
        <v>1477</v>
      </c>
      <c r="B1407" s="2" t="s">
        <v>1446</v>
      </c>
      <c r="C1407" s="2" t="s">
        <v>52</v>
      </c>
      <c r="D1407" s="3">
        <v>2276</v>
      </c>
      <c r="E1407" s="4" t="s">
        <v>53</v>
      </c>
      <c r="F1407" s="5">
        <v>13.2</v>
      </c>
      <c r="G1407" s="4" t="s">
        <v>54</v>
      </c>
      <c r="H1407" s="6">
        <f t="shared" si="21"/>
        <v>30043.199999999997</v>
      </c>
    </row>
    <row r="1408" spans="1:8" x14ac:dyDescent="0.2">
      <c r="A1408" s="2" t="s">
        <v>1478</v>
      </c>
      <c r="B1408" s="2" t="s">
        <v>1446</v>
      </c>
      <c r="C1408" s="2" t="s">
        <v>89</v>
      </c>
      <c r="D1408" s="3">
        <v>2726</v>
      </c>
      <c r="E1408" s="4" t="s">
        <v>30</v>
      </c>
      <c r="F1408" s="5">
        <v>2.85</v>
      </c>
      <c r="G1408" s="4" t="s">
        <v>31</v>
      </c>
      <c r="H1408" s="6">
        <f t="shared" si="21"/>
        <v>7769.1</v>
      </c>
    </row>
    <row r="1409" spans="1:8" x14ac:dyDescent="0.2">
      <c r="A1409" s="2" t="s">
        <v>1479</v>
      </c>
      <c r="B1409" s="2" t="s">
        <v>1446</v>
      </c>
      <c r="C1409" s="2" t="s">
        <v>23</v>
      </c>
      <c r="D1409" s="3">
        <v>3658</v>
      </c>
      <c r="E1409" s="4" t="s">
        <v>24</v>
      </c>
      <c r="F1409" s="5">
        <v>14.15</v>
      </c>
      <c r="G1409" s="4" t="s">
        <v>25</v>
      </c>
      <c r="H1409" s="6">
        <f t="shared" si="21"/>
        <v>51760.700000000004</v>
      </c>
    </row>
    <row r="1410" spans="1:8" x14ac:dyDescent="0.2">
      <c r="A1410" s="2" t="s">
        <v>1480</v>
      </c>
      <c r="B1410" s="2" t="s">
        <v>1446</v>
      </c>
      <c r="C1410" s="2" t="s">
        <v>71</v>
      </c>
      <c r="D1410" s="3">
        <v>3999</v>
      </c>
      <c r="E1410" s="4" t="s">
        <v>72</v>
      </c>
      <c r="F1410" s="5">
        <v>2731</v>
      </c>
      <c r="G1410" s="4" t="s">
        <v>73</v>
      </c>
      <c r="H1410" s="6">
        <f t="shared" ref="H1410:H1473" si="22">D1410*F1410</f>
        <v>10921269</v>
      </c>
    </row>
    <row r="1411" spans="1:8" x14ac:dyDescent="0.2">
      <c r="A1411" s="2" t="s">
        <v>1481</v>
      </c>
      <c r="B1411" s="2" t="s">
        <v>1446</v>
      </c>
      <c r="C1411" s="2" t="s">
        <v>118</v>
      </c>
      <c r="D1411" s="3">
        <v>4979</v>
      </c>
      <c r="E1411" s="4" t="s">
        <v>24</v>
      </c>
      <c r="F1411" s="5">
        <v>0.46</v>
      </c>
      <c r="G1411" s="4" t="s">
        <v>25</v>
      </c>
      <c r="H1411" s="6">
        <f t="shared" si="22"/>
        <v>2290.34</v>
      </c>
    </row>
    <row r="1412" spans="1:8" x14ac:dyDescent="0.2">
      <c r="A1412" s="2" t="s">
        <v>1482</v>
      </c>
      <c r="B1412" s="2" t="s">
        <v>1446</v>
      </c>
      <c r="C1412" s="2" t="s">
        <v>86</v>
      </c>
      <c r="D1412" s="3">
        <v>1156</v>
      </c>
      <c r="E1412" s="4" t="s">
        <v>72</v>
      </c>
      <c r="F1412" s="5">
        <v>9047.82</v>
      </c>
      <c r="G1412" s="4" t="s">
        <v>73</v>
      </c>
      <c r="H1412" s="6">
        <f t="shared" si="22"/>
        <v>10459279.92</v>
      </c>
    </row>
    <row r="1413" spans="1:8" x14ac:dyDescent="0.2">
      <c r="A1413" s="2" t="s">
        <v>1483</v>
      </c>
      <c r="B1413" s="2" t="s">
        <v>1446</v>
      </c>
      <c r="C1413" s="2" t="s">
        <v>44</v>
      </c>
      <c r="D1413" s="3">
        <v>2166</v>
      </c>
      <c r="E1413" s="4" t="s">
        <v>24</v>
      </c>
      <c r="F1413" s="5">
        <v>1.41</v>
      </c>
      <c r="G1413" s="4" t="s">
        <v>25</v>
      </c>
      <c r="H1413" s="6">
        <f t="shared" si="22"/>
        <v>3054.06</v>
      </c>
    </row>
    <row r="1414" spans="1:8" x14ac:dyDescent="0.2">
      <c r="A1414" s="2" t="s">
        <v>1484</v>
      </c>
      <c r="B1414" s="2" t="s">
        <v>1446</v>
      </c>
      <c r="C1414" s="2" t="s">
        <v>27</v>
      </c>
      <c r="D1414" s="3">
        <v>627</v>
      </c>
      <c r="E1414" s="4" t="s">
        <v>20</v>
      </c>
      <c r="F1414" s="5">
        <v>2.27</v>
      </c>
      <c r="G1414" s="4" t="s">
        <v>21</v>
      </c>
      <c r="H1414" s="6">
        <f t="shared" si="22"/>
        <v>1423.29</v>
      </c>
    </row>
    <row r="1415" spans="1:8" x14ac:dyDescent="0.2">
      <c r="A1415" s="2" t="s">
        <v>1485</v>
      </c>
      <c r="B1415" s="2" t="s">
        <v>1446</v>
      </c>
      <c r="C1415" s="2" t="s">
        <v>78</v>
      </c>
      <c r="D1415" s="3">
        <v>265</v>
      </c>
      <c r="E1415" s="4" t="s">
        <v>38</v>
      </c>
      <c r="F1415" s="5">
        <v>2.88</v>
      </c>
      <c r="G1415" s="4" t="s">
        <v>39</v>
      </c>
      <c r="H1415" s="6">
        <f t="shared" si="22"/>
        <v>763.19999999999993</v>
      </c>
    </row>
    <row r="1416" spans="1:8" x14ac:dyDescent="0.2">
      <c r="A1416" s="2" t="s">
        <v>1486</v>
      </c>
      <c r="B1416" s="2" t="s">
        <v>1446</v>
      </c>
      <c r="C1416" s="2" t="s">
        <v>46</v>
      </c>
      <c r="D1416" s="3">
        <v>3328</v>
      </c>
      <c r="E1416" s="4" t="s">
        <v>20</v>
      </c>
      <c r="F1416" s="5">
        <v>3.54</v>
      </c>
      <c r="G1416" s="4" t="s">
        <v>21</v>
      </c>
      <c r="H1416" s="6">
        <f t="shared" si="22"/>
        <v>11781.12</v>
      </c>
    </row>
    <row r="1417" spans="1:8" x14ac:dyDescent="0.2">
      <c r="A1417" s="2" t="s">
        <v>1487</v>
      </c>
      <c r="B1417" s="2" t="s">
        <v>1446</v>
      </c>
      <c r="C1417" s="2" t="s">
        <v>44</v>
      </c>
      <c r="D1417" s="3">
        <v>310</v>
      </c>
      <c r="E1417" s="4" t="s">
        <v>24</v>
      </c>
      <c r="F1417" s="5">
        <v>1.29</v>
      </c>
      <c r="G1417" s="4" t="s">
        <v>25</v>
      </c>
      <c r="H1417" s="6">
        <f t="shared" si="22"/>
        <v>399.90000000000003</v>
      </c>
    </row>
    <row r="1418" spans="1:8" x14ac:dyDescent="0.2">
      <c r="A1418" s="2" t="s">
        <v>1488</v>
      </c>
      <c r="B1418" s="2" t="s">
        <v>1446</v>
      </c>
      <c r="C1418" s="2" t="s">
        <v>29</v>
      </c>
      <c r="D1418" s="3">
        <v>4431</v>
      </c>
      <c r="E1418" s="4" t="s">
        <v>30</v>
      </c>
      <c r="F1418" s="5">
        <v>1.57</v>
      </c>
      <c r="G1418" s="4" t="s">
        <v>31</v>
      </c>
      <c r="H1418" s="6">
        <f t="shared" si="22"/>
        <v>6956.67</v>
      </c>
    </row>
    <row r="1419" spans="1:8" x14ac:dyDescent="0.2">
      <c r="A1419" s="2" t="s">
        <v>1489</v>
      </c>
      <c r="B1419" s="2" t="s">
        <v>1446</v>
      </c>
      <c r="C1419" s="2" t="s">
        <v>89</v>
      </c>
      <c r="D1419" s="3">
        <v>3006</v>
      </c>
      <c r="E1419" s="4" t="s">
        <v>30</v>
      </c>
      <c r="F1419" s="5">
        <v>2.27</v>
      </c>
      <c r="G1419" s="4" t="s">
        <v>31</v>
      </c>
      <c r="H1419" s="6">
        <f t="shared" si="22"/>
        <v>6823.62</v>
      </c>
    </row>
    <row r="1420" spans="1:8" x14ac:dyDescent="0.2">
      <c r="A1420" s="2" t="s">
        <v>1490</v>
      </c>
      <c r="B1420" s="2" t="s">
        <v>1446</v>
      </c>
      <c r="C1420" s="2" t="s">
        <v>46</v>
      </c>
      <c r="D1420" s="3">
        <v>2393</v>
      </c>
      <c r="E1420" s="4" t="s">
        <v>20</v>
      </c>
      <c r="F1420" s="5">
        <v>2.27</v>
      </c>
      <c r="G1420" s="4" t="s">
        <v>21</v>
      </c>
      <c r="H1420" s="6">
        <f t="shared" si="22"/>
        <v>5432.11</v>
      </c>
    </row>
    <row r="1421" spans="1:8" x14ac:dyDescent="0.2">
      <c r="A1421" s="2" t="s">
        <v>1491</v>
      </c>
      <c r="B1421" s="2" t="s">
        <v>1446</v>
      </c>
      <c r="C1421" s="2" t="s">
        <v>78</v>
      </c>
      <c r="D1421" s="3">
        <v>4191</v>
      </c>
      <c r="E1421" s="4" t="s">
        <v>38</v>
      </c>
      <c r="F1421" s="5">
        <v>1.65</v>
      </c>
      <c r="G1421" s="4" t="s">
        <v>39</v>
      </c>
      <c r="H1421" s="6">
        <f t="shared" si="22"/>
        <v>6915.15</v>
      </c>
    </row>
    <row r="1422" spans="1:8" x14ac:dyDescent="0.2">
      <c r="A1422" s="2" t="s">
        <v>1492</v>
      </c>
      <c r="B1422" s="2" t="s">
        <v>1446</v>
      </c>
      <c r="C1422" s="2" t="s">
        <v>19</v>
      </c>
      <c r="D1422" s="3">
        <v>4123</v>
      </c>
      <c r="E1422" s="4" t="s">
        <v>20</v>
      </c>
      <c r="F1422" s="5">
        <v>1.1100000000000001</v>
      </c>
      <c r="G1422" s="4" t="s">
        <v>21</v>
      </c>
      <c r="H1422" s="6">
        <f t="shared" si="22"/>
        <v>4576.5300000000007</v>
      </c>
    </row>
    <row r="1423" spans="1:8" x14ac:dyDescent="0.2">
      <c r="A1423" s="2" t="s">
        <v>1493</v>
      </c>
      <c r="B1423" s="2" t="s">
        <v>1446</v>
      </c>
      <c r="C1423" s="2" t="s">
        <v>42</v>
      </c>
      <c r="D1423" s="3">
        <v>1368</v>
      </c>
      <c r="E1423" s="4" t="s">
        <v>24</v>
      </c>
      <c r="F1423" s="5">
        <v>5.77</v>
      </c>
      <c r="G1423" s="4" t="s">
        <v>25</v>
      </c>
      <c r="H1423" s="6">
        <f t="shared" si="22"/>
        <v>7893.36</v>
      </c>
    </row>
    <row r="1424" spans="1:8" x14ac:dyDescent="0.2">
      <c r="A1424" s="2" t="s">
        <v>1494</v>
      </c>
      <c r="B1424" s="2" t="s">
        <v>1446</v>
      </c>
      <c r="C1424" s="2" t="s">
        <v>89</v>
      </c>
      <c r="D1424" s="3">
        <v>3665</v>
      </c>
      <c r="E1424" s="4" t="s">
        <v>30</v>
      </c>
      <c r="F1424" s="5">
        <v>1.99</v>
      </c>
      <c r="G1424" s="4" t="s">
        <v>31</v>
      </c>
      <c r="H1424" s="6">
        <f t="shared" si="22"/>
        <v>7293.35</v>
      </c>
    </row>
    <row r="1425" spans="1:8" x14ac:dyDescent="0.2">
      <c r="A1425" s="2" t="s">
        <v>1495</v>
      </c>
      <c r="B1425" s="2" t="s">
        <v>1446</v>
      </c>
      <c r="C1425" s="2" t="s">
        <v>46</v>
      </c>
      <c r="D1425" s="3">
        <v>4645</v>
      </c>
      <c r="E1425" s="4" t="s">
        <v>20</v>
      </c>
      <c r="F1425" s="5">
        <v>3.32</v>
      </c>
      <c r="G1425" s="4" t="s">
        <v>21</v>
      </c>
      <c r="H1425" s="6">
        <f t="shared" si="22"/>
        <v>15421.4</v>
      </c>
    </row>
    <row r="1426" spans="1:8" x14ac:dyDescent="0.2">
      <c r="A1426" s="2" t="s">
        <v>1496</v>
      </c>
      <c r="B1426" s="2" t="s">
        <v>1446</v>
      </c>
      <c r="C1426" s="2" t="s">
        <v>89</v>
      </c>
      <c r="D1426" s="3">
        <v>3970</v>
      </c>
      <c r="E1426" s="4" t="s">
        <v>30</v>
      </c>
      <c r="F1426" s="5">
        <v>2.93</v>
      </c>
      <c r="G1426" s="4" t="s">
        <v>31</v>
      </c>
      <c r="H1426" s="6">
        <f t="shared" si="22"/>
        <v>11632.1</v>
      </c>
    </row>
    <row r="1427" spans="1:8" x14ac:dyDescent="0.2">
      <c r="A1427" s="2" t="s">
        <v>1497</v>
      </c>
      <c r="B1427" s="2" t="s">
        <v>1446</v>
      </c>
      <c r="C1427" s="2" t="s">
        <v>37</v>
      </c>
      <c r="D1427" s="3">
        <v>1802</v>
      </c>
      <c r="E1427" s="4" t="s">
        <v>38</v>
      </c>
      <c r="F1427" s="5">
        <v>4.28</v>
      </c>
      <c r="G1427" s="4" t="s">
        <v>39</v>
      </c>
      <c r="H1427" s="6">
        <f t="shared" si="22"/>
        <v>7712.56</v>
      </c>
    </row>
    <row r="1428" spans="1:8" x14ac:dyDescent="0.2">
      <c r="A1428" s="2" t="s">
        <v>1498</v>
      </c>
      <c r="B1428" s="2" t="s">
        <v>1446</v>
      </c>
      <c r="C1428" s="2" t="s">
        <v>42</v>
      </c>
      <c r="D1428" s="3">
        <v>524</v>
      </c>
      <c r="E1428" s="4" t="s">
        <v>24</v>
      </c>
      <c r="F1428" s="5">
        <v>4.29</v>
      </c>
      <c r="G1428" s="4" t="s">
        <v>25</v>
      </c>
      <c r="H1428" s="6">
        <f t="shared" si="22"/>
        <v>2247.96</v>
      </c>
    </row>
    <row r="1429" spans="1:8" x14ac:dyDescent="0.2">
      <c r="A1429" s="2" t="s">
        <v>1499</v>
      </c>
      <c r="B1429" s="2" t="s">
        <v>1446</v>
      </c>
      <c r="C1429" s="2" t="s">
        <v>42</v>
      </c>
      <c r="D1429" s="3">
        <v>360</v>
      </c>
      <c r="E1429" s="4" t="s">
        <v>24</v>
      </c>
      <c r="F1429" s="5">
        <v>5.51</v>
      </c>
      <c r="G1429" s="4" t="s">
        <v>25</v>
      </c>
      <c r="H1429" s="6">
        <f t="shared" si="22"/>
        <v>1983.6</v>
      </c>
    </row>
    <row r="1430" spans="1:8" x14ac:dyDescent="0.2">
      <c r="A1430" s="2" t="s">
        <v>1500</v>
      </c>
      <c r="B1430" s="2" t="s">
        <v>1446</v>
      </c>
      <c r="C1430" s="2" t="s">
        <v>78</v>
      </c>
      <c r="D1430" s="3">
        <v>2969</v>
      </c>
      <c r="E1430" s="4" t="s">
        <v>38</v>
      </c>
      <c r="F1430" s="5">
        <v>2.16</v>
      </c>
      <c r="G1430" s="4" t="s">
        <v>39</v>
      </c>
      <c r="H1430" s="6">
        <f t="shared" si="22"/>
        <v>6413.0400000000009</v>
      </c>
    </row>
    <row r="1431" spans="1:8" x14ac:dyDescent="0.2">
      <c r="A1431" s="2" t="s">
        <v>1501</v>
      </c>
      <c r="B1431" s="2" t="s">
        <v>1446</v>
      </c>
      <c r="C1431" s="2" t="s">
        <v>23</v>
      </c>
      <c r="D1431" s="3">
        <v>390</v>
      </c>
      <c r="E1431" s="4" t="s">
        <v>24</v>
      </c>
      <c r="F1431" s="5">
        <v>12.24</v>
      </c>
      <c r="G1431" s="4" t="s">
        <v>25</v>
      </c>
      <c r="H1431" s="6">
        <f t="shared" si="22"/>
        <v>4773.6000000000004</v>
      </c>
    </row>
    <row r="1432" spans="1:8" x14ac:dyDescent="0.2">
      <c r="A1432" s="2" t="s">
        <v>1502</v>
      </c>
      <c r="B1432" s="2" t="s">
        <v>1446</v>
      </c>
      <c r="C1432" s="2" t="s">
        <v>57</v>
      </c>
      <c r="D1432" s="3">
        <v>855</v>
      </c>
      <c r="E1432" s="4" t="s">
        <v>20</v>
      </c>
      <c r="F1432" s="5">
        <v>0.88</v>
      </c>
      <c r="G1432" s="4" t="s">
        <v>21</v>
      </c>
      <c r="H1432" s="6">
        <f t="shared" si="22"/>
        <v>752.4</v>
      </c>
    </row>
    <row r="1433" spans="1:8" x14ac:dyDescent="0.2">
      <c r="A1433" s="2" t="s">
        <v>1503</v>
      </c>
      <c r="B1433" s="2" t="s">
        <v>1446</v>
      </c>
      <c r="C1433" s="2" t="s">
        <v>78</v>
      </c>
      <c r="D1433" s="3">
        <v>2250</v>
      </c>
      <c r="E1433" s="4" t="s">
        <v>38</v>
      </c>
      <c r="F1433" s="5">
        <v>2.92</v>
      </c>
      <c r="G1433" s="4" t="s">
        <v>39</v>
      </c>
      <c r="H1433" s="6">
        <f t="shared" si="22"/>
        <v>6570</v>
      </c>
    </row>
    <row r="1434" spans="1:8" x14ac:dyDescent="0.2">
      <c r="A1434" s="2" t="s">
        <v>1504</v>
      </c>
      <c r="B1434" s="2" t="s">
        <v>1446</v>
      </c>
      <c r="C1434" s="2" t="s">
        <v>86</v>
      </c>
      <c r="D1434" s="3">
        <v>4750</v>
      </c>
      <c r="E1434" s="4" t="s">
        <v>72</v>
      </c>
      <c r="F1434" s="5">
        <v>8562.09</v>
      </c>
      <c r="G1434" s="4" t="s">
        <v>73</v>
      </c>
      <c r="H1434" s="6">
        <f t="shared" si="22"/>
        <v>40669927.5</v>
      </c>
    </row>
    <row r="1435" spans="1:8" x14ac:dyDescent="0.2">
      <c r="A1435" s="2" t="s">
        <v>1505</v>
      </c>
      <c r="B1435" s="2" t="s">
        <v>1446</v>
      </c>
      <c r="C1435" s="2" t="s">
        <v>118</v>
      </c>
      <c r="D1435" s="3">
        <v>3095</v>
      </c>
      <c r="E1435" s="4" t="s">
        <v>24</v>
      </c>
      <c r="F1435" s="5">
        <v>0.86</v>
      </c>
      <c r="G1435" s="4" t="s">
        <v>25</v>
      </c>
      <c r="H1435" s="6">
        <f t="shared" si="22"/>
        <v>2661.7</v>
      </c>
    </row>
    <row r="1436" spans="1:8" x14ac:dyDescent="0.2">
      <c r="A1436" s="2" t="s">
        <v>1506</v>
      </c>
      <c r="B1436" s="2" t="s">
        <v>1446</v>
      </c>
      <c r="C1436" s="2" t="s">
        <v>19</v>
      </c>
      <c r="D1436" s="3">
        <v>4824</v>
      </c>
      <c r="E1436" s="4" t="s">
        <v>20</v>
      </c>
      <c r="F1436" s="5">
        <v>1.49</v>
      </c>
      <c r="G1436" s="4" t="s">
        <v>21</v>
      </c>
      <c r="H1436" s="6">
        <f t="shared" si="22"/>
        <v>7187.76</v>
      </c>
    </row>
    <row r="1437" spans="1:8" x14ac:dyDescent="0.2">
      <c r="A1437" s="2" t="s">
        <v>1507</v>
      </c>
      <c r="B1437" s="2" t="s">
        <v>1446</v>
      </c>
      <c r="C1437" s="2" t="s">
        <v>27</v>
      </c>
      <c r="D1437" s="3">
        <v>4242</v>
      </c>
      <c r="E1437" s="4" t="s">
        <v>20</v>
      </c>
      <c r="F1437" s="5">
        <v>1.5</v>
      </c>
      <c r="G1437" s="4" t="s">
        <v>21</v>
      </c>
      <c r="H1437" s="6">
        <f t="shared" si="22"/>
        <v>6363</v>
      </c>
    </row>
    <row r="1438" spans="1:8" x14ac:dyDescent="0.2">
      <c r="A1438" s="2" t="s">
        <v>1508</v>
      </c>
      <c r="B1438" s="2" t="s">
        <v>1446</v>
      </c>
      <c r="C1438" s="2" t="s">
        <v>42</v>
      </c>
      <c r="D1438" s="3">
        <v>4240</v>
      </c>
      <c r="E1438" s="4" t="s">
        <v>24</v>
      </c>
      <c r="F1438" s="5">
        <v>4.72</v>
      </c>
      <c r="G1438" s="4" t="s">
        <v>25</v>
      </c>
      <c r="H1438" s="6">
        <f t="shared" si="22"/>
        <v>20012.8</v>
      </c>
    </row>
    <row r="1439" spans="1:8" x14ac:dyDescent="0.2">
      <c r="A1439" s="2" t="s">
        <v>1509</v>
      </c>
      <c r="B1439" s="2" t="s">
        <v>1446</v>
      </c>
      <c r="C1439" s="2" t="s">
        <v>19</v>
      </c>
      <c r="D1439" s="3">
        <v>3998</v>
      </c>
      <c r="E1439" s="4" t="s">
        <v>20</v>
      </c>
      <c r="F1439" s="5">
        <v>1.58</v>
      </c>
      <c r="G1439" s="4" t="s">
        <v>21</v>
      </c>
      <c r="H1439" s="6">
        <f t="shared" si="22"/>
        <v>6316.84</v>
      </c>
    </row>
    <row r="1440" spans="1:8" x14ac:dyDescent="0.2">
      <c r="A1440" s="2" t="s">
        <v>1510</v>
      </c>
      <c r="B1440" s="2" t="s">
        <v>1446</v>
      </c>
      <c r="C1440" s="2" t="s">
        <v>147</v>
      </c>
      <c r="D1440" s="3">
        <v>64</v>
      </c>
      <c r="E1440" s="4" t="s">
        <v>53</v>
      </c>
      <c r="F1440" s="5">
        <v>12.01</v>
      </c>
      <c r="G1440" s="4" t="s">
        <v>54</v>
      </c>
      <c r="H1440" s="6">
        <f t="shared" si="22"/>
        <v>768.64</v>
      </c>
    </row>
    <row r="1441" spans="1:8" x14ac:dyDescent="0.2">
      <c r="A1441" s="2" t="s">
        <v>1511</v>
      </c>
      <c r="B1441" s="2" t="s">
        <v>1446</v>
      </c>
      <c r="C1441" s="2" t="s">
        <v>89</v>
      </c>
      <c r="D1441" s="3">
        <v>3613</v>
      </c>
      <c r="E1441" s="4" t="s">
        <v>30</v>
      </c>
      <c r="F1441" s="5">
        <v>2</v>
      </c>
      <c r="G1441" s="4" t="s">
        <v>31</v>
      </c>
      <c r="H1441" s="6">
        <f t="shared" si="22"/>
        <v>7226</v>
      </c>
    </row>
    <row r="1442" spans="1:8" x14ac:dyDescent="0.2">
      <c r="A1442" s="2" t="s">
        <v>1512</v>
      </c>
      <c r="B1442" s="2" t="s">
        <v>1446</v>
      </c>
      <c r="C1442" s="2" t="s">
        <v>27</v>
      </c>
      <c r="D1442" s="3">
        <v>4225</v>
      </c>
      <c r="E1442" s="4" t="s">
        <v>20</v>
      </c>
      <c r="F1442" s="5">
        <v>1.97</v>
      </c>
      <c r="G1442" s="4" t="s">
        <v>21</v>
      </c>
      <c r="H1442" s="6">
        <f t="shared" si="22"/>
        <v>8323.25</v>
      </c>
    </row>
    <row r="1443" spans="1:8" x14ac:dyDescent="0.2">
      <c r="A1443" s="2" t="s">
        <v>1513</v>
      </c>
      <c r="B1443" s="2" t="s">
        <v>1446</v>
      </c>
      <c r="C1443" s="2" t="s">
        <v>44</v>
      </c>
      <c r="D1443" s="3">
        <v>1240</v>
      </c>
      <c r="E1443" s="4" t="s">
        <v>24</v>
      </c>
      <c r="F1443" s="5">
        <v>1.03</v>
      </c>
      <c r="G1443" s="4" t="s">
        <v>25</v>
      </c>
      <c r="H1443" s="6">
        <f t="shared" si="22"/>
        <v>1277.2</v>
      </c>
    </row>
    <row r="1444" spans="1:8" x14ac:dyDescent="0.2">
      <c r="A1444" s="2" t="s">
        <v>1514</v>
      </c>
      <c r="B1444" s="2" t="s">
        <v>1446</v>
      </c>
      <c r="C1444" s="2" t="s">
        <v>19</v>
      </c>
      <c r="D1444" s="3">
        <v>4941</v>
      </c>
      <c r="E1444" s="4" t="s">
        <v>20</v>
      </c>
      <c r="F1444" s="5">
        <v>1.53</v>
      </c>
      <c r="G1444" s="4" t="s">
        <v>21</v>
      </c>
      <c r="H1444" s="6">
        <f t="shared" si="22"/>
        <v>7559.7300000000005</v>
      </c>
    </row>
    <row r="1445" spans="1:8" x14ac:dyDescent="0.2">
      <c r="A1445" s="2" t="s">
        <v>1515</v>
      </c>
      <c r="B1445" s="2" t="s">
        <v>1446</v>
      </c>
      <c r="C1445" s="2" t="s">
        <v>50</v>
      </c>
      <c r="D1445" s="3">
        <v>1896</v>
      </c>
      <c r="E1445" s="4" t="s">
        <v>20</v>
      </c>
      <c r="F1445" s="5">
        <v>0.95</v>
      </c>
      <c r="G1445" s="4" t="s">
        <v>21</v>
      </c>
      <c r="H1445" s="6">
        <f t="shared" si="22"/>
        <v>1801.1999999999998</v>
      </c>
    </row>
    <row r="1446" spans="1:8" x14ac:dyDescent="0.2">
      <c r="A1446" s="2" t="s">
        <v>1516</v>
      </c>
      <c r="B1446" s="2" t="s">
        <v>1446</v>
      </c>
      <c r="C1446" s="2" t="s">
        <v>57</v>
      </c>
      <c r="D1446" s="3">
        <v>938</v>
      </c>
      <c r="E1446" s="4" t="s">
        <v>20</v>
      </c>
      <c r="F1446" s="5">
        <v>0.79</v>
      </c>
      <c r="G1446" s="4" t="s">
        <v>21</v>
      </c>
      <c r="H1446" s="6">
        <f t="shared" si="22"/>
        <v>741.02</v>
      </c>
    </row>
    <row r="1447" spans="1:8" x14ac:dyDescent="0.2">
      <c r="A1447" s="2" t="s">
        <v>1517</v>
      </c>
      <c r="B1447" s="2" t="s">
        <v>1446</v>
      </c>
      <c r="C1447" s="2" t="s">
        <v>48</v>
      </c>
      <c r="D1447" s="3">
        <v>3934</v>
      </c>
      <c r="E1447" s="4" t="s">
        <v>24</v>
      </c>
      <c r="F1447" s="5">
        <v>0.08</v>
      </c>
      <c r="G1447" s="4" t="s">
        <v>25</v>
      </c>
      <c r="H1447" s="6">
        <f t="shared" si="22"/>
        <v>314.72000000000003</v>
      </c>
    </row>
    <row r="1448" spans="1:8" x14ac:dyDescent="0.2">
      <c r="A1448" s="2" t="s">
        <v>1518</v>
      </c>
      <c r="B1448" s="2" t="s">
        <v>1446</v>
      </c>
      <c r="C1448" s="2" t="s">
        <v>118</v>
      </c>
      <c r="D1448" s="3">
        <v>3376</v>
      </c>
      <c r="E1448" s="4" t="s">
        <v>24</v>
      </c>
      <c r="F1448" s="5">
        <v>0.42</v>
      </c>
      <c r="G1448" s="4" t="s">
        <v>25</v>
      </c>
      <c r="H1448" s="6">
        <f t="shared" si="22"/>
        <v>1417.9199999999998</v>
      </c>
    </row>
    <row r="1449" spans="1:8" x14ac:dyDescent="0.2">
      <c r="A1449" s="2" t="s">
        <v>1519</v>
      </c>
      <c r="B1449" s="2" t="s">
        <v>1446</v>
      </c>
      <c r="C1449" s="2" t="s">
        <v>37</v>
      </c>
      <c r="D1449" s="3">
        <v>1057</v>
      </c>
      <c r="E1449" s="4" t="s">
        <v>38</v>
      </c>
      <c r="F1449" s="5">
        <v>3.72</v>
      </c>
      <c r="G1449" s="4" t="s">
        <v>39</v>
      </c>
      <c r="H1449" s="6">
        <f t="shared" si="22"/>
        <v>3932.0400000000004</v>
      </c>
    </row>
    <row r="1450" spans="1:8" x14ac:dyDescent="0.2">
      <c r="A1450" s="2" t="s">
        <v>1520</v>
      </c>
      <c r="B1450" s="2" t="s">
        <v>1446</v>
      </c>
      <c r="C1450" s="2" t="s">
        <v>118</v>
      </c>
      <c r="D1450" s="3">
        <v>1113</v>
      </c>
      <c r="E1450" s="4" t="s">
        <v>24</v>
      </c>
      <c r="F1450" s="5">
        <v>0.84</v>
      </c>
      <c r="G1450" s="4" t="s">
        <v>25</v>
      </c>
      <c r="H1450" s="6">
        <f t="shared" si="22"/>
        <v>934.92</v>
      </c>
    </row>
    <row r="1451" spans="1:8" x14ac:dyDescent="0.2">
      <c r="A1451" s="2" t="s">
        <v>1521</v>
      </c>
      <c r="B1451" s="2" t="s">
        <v>1446</v>
      </c>
      <c r="C1451" s="2" t="s">
        <v>37</v>
      </c>
      <c r="D1451" s="3">
        <v>4698</v>
      </c>
      <c r="E1451" s="4" t="s">
        <v>38</v>
      </c>
      <c r="F1451" s="5">
        <v>2.44</v>
      </c>
      <c r="G1451" s="4" t="s">
        <v>39</v>
      </c>
      <c r="H1451" s="6">
        <f t="shared" si="22"/>
        <v>11463.119999999999</v>
      </c>
    </row>
    <row r="1452" spans="1:8" x14ac:dyDescent="0.2">
      <c r="A1452" s="2" t="s">
        <v>1522</v>
      </c>
      <c r="B1452" s="2" t="s">
        <v>1446</v>
      </c>
      <c r="C1452" s="2" t="s">
        <v>118</v>
      </c>
      <c r="D1452" s="3">
        <v>2125</v>
      </c>
      <c r="E1452" s="4" t="s">
        <v>24</v>
      </c>
      <c r="F1452" s="5">
        <v>1.05</v>
      </c>
      <c r="G1452" s="4" t="s">
        <v>25</v>
      </c>
      <c r="H1452" s="6">
        <f t="shared" si="22"/>
        <v>2231.25</v>
      </c>
    </row>
    <row r="1453" spans="1:8" x14ac:dyDescent="0.2">
      <c r="A1453" s="2" t="s">
        <v>1523</v>
      </c>
      <c r="B1453" s="2" t="s">
        <v>1446</v>
      </c>
      <c r="C1453" s="2" t="s">
        <v>78</v>
      </c>
      <c r="D1453" s="3">
        <v>3331</v>
      </c>
      <c r="E1453" s="4" t="s">
        <v>38</v>
      </c>
      <c r="F1453" s="5">
        <v>2.52</v>
      </c>
      <c r="G1453" s="4" t="s">
        <v>39</v>
      </c>
      <c r="H1453" s="6">
        <f t="shared" si="22"/>
        <v>8394.1200000000008</v>
      </c>
    </row>
    <row r="1454" spans="1:8" x14ac:dyDescent="0.2">
      <c r="A1454" s="2" t="s">
        <v>1524</v>
      </c>
      <c r="B1454" s="2" t="s">
        <v>1446</v>
      </c>
      <c r="C1454" s="2" t="s">
        <v>46</v>
      </c>
      <c r="D1454" s="3">
        <v>162</v>
      </c>
      <c r="E1454" s="4" t="s">
        <v>20</v>
      </c>
      <c r="F1454" s="5">
        <v>3.76</v>
      </c>
      <c r="G1454" s="4" t="s">
        <v>21</v>
      </c>
      <c r="H1454" s="6">
        <f t="shared" si="22"/>
        <v>609.12</v>
      </c>
    </row>
    <row r="1455" spans="1:8" x14ac:dyDescent="0.2">
      <c r="A1455" s="2" t="s">
        <v>1525</v>
      </c>
      <c r="B1455" s="2" t="s">
        <v>1446</v>
      </c>
      <c r="C1455" s="2" t="s">
        <v>71</v>
      </c>
      <c r="D1455" s="3">
        <v>712</v>
      </c>
      <c r="E1455" s="4" t="s">
        <v>72</v>
      </c>
      <c r="F1455" s="5">
        <v>2529.96</v>
      </c>
      <c r="G1455" s="4" t="s">
        <v>73</v>
      </c>
      <c r="H1455" s="6">
        <f t="shared" si="22"/>
        <v>1801331.52</v>
      </c>
    </row>
    <row r="1456" spans="1:8" x14ac:dyDescent="0.2">
      <c r="A1456" s="2" t="s">
        <v>1526</v>
      </c>
      <c r="B1456" s="2" t="s">
        <v>1446</v>
      </c>
      <c r="C1456" s="2" t="s">
        <v>147</v>
      </c>
      <c r="D1456" s="3">
        <v>3871</v>
      </c>
      <c r="E1456" s="4" t="s">
        <v>53</v>
      </c>
      <c r="F1456" s="5">
        <v>14.94</v>
      </c>
      <c r="G1456" s="4" t="s">
        <v>54</v>
      </c>
      <c r="H1456" s="6">
        <f t="shared" si="22"/>
        <v>57832.74</v>
      </c>
    </row>
    <row r="1457" spans="1:8" x14ac:dyDescent="0.2">
      <c r="A1457" s="2" t="s">
        <v>1527</v>
      </c>
      <c r="B1457" s="2" t="s">
        <v>1446</v>
      </c>
      <c r="C1457" s="2" t="s">
        <v>118</v>
      </c>
      <c r="D1457" s="3">
        <v>1807</v>
      </c>
      <c r="E1457" s="4" t="s">
        <v>24</v>
      </c>
      <c r="F1457" s="5">
        <v>0.98</v>
      </c>
      <c r="G1457" s="4" t="s">
        <v>25</v>
      </c>
      <c r="H1457" s="6">
        <f t="shared" si="22"/>
        <v>1770.86</v>
      </c>
    </row>
    <row r="1458" spans="1:8" x14ac:dyDescent="0.2">
      <c r="A1458" s="2" t="s">
        <v>1528</v>
      </c>
      <c r="B1458" s="2" t="s">
        <v>1446</v>
      </c>
      <c r="C1458" s="2" t="s">
        <v>147</v>
      </c>
      <c r="D1458" s="3">
        <v>1179</v>
      </c>
      <c r="E1458" s="4" t="s">
        <v>53</v>
      </c>
      <c r="F1458" s="5">
        <v>14.36</v>
      </c>
      <c r="G1458" s="4" t="s">
        <v>54</v>
      </c>
      <c r="H1458" s="6">
        <f t="shared" si="22"/>
        <v>16930.439999999999</v>
      </c>
    </row>
    <row r="1459" spans="1:8" x14ac:dyDescent="0.2">
      <c r="A1459" s="2" t="s">
        <v>1529</v>
      </c>
      <c r="B1459" s="2" t="s">
        <v>1446</v>
      </c>
      <c r="C1459" s="2" t="s">
        <v>118</v>
      </c>
      <c r="D1459" s="3">
        <v>4194</v>
      </c>
      <c r="E1459" s="4" t="s">
        <v>24</v>
      </c>
      <c r="F1459" s="5">
        <v>0.59</v>
      </c>
      <c r="G1459" s="4" t="s">
        <v>25</v>
      </c>
      <c r="H1459" s="6">
        <f t="shared" si="22"/>
        <v>2474.46</v>
      </c>
    </row>
    <row r="1460" spans="1:8" x14ac:dyDescent="0.2">
      <c r="A1460" s="2" t="s">
        <v>1530</v>
      </c>
      <c r="B1460" s="2" t="s">
        <v>1446</v>
      </c>
      <c r="C1460" s="2" t="s">
        <v>57</v>
      </c>
      <c r="D1460" s="3">
        <v>3724</v>
      </c>
      <c r="E1460" s="4" t="s">
        <v>20</v>
      </c>
      <c r="F1460" s="5">
        <v>0.84</v>
      </c>
      <c r="G1460" s="4" t="s">
        <v>21</v>
      </c>
      <c r="H1460" s="6">
        <f t="shared" si="22"/>
        <v>3128.16</v>
      </c>
    </row>
    <row r="1461" spans="1:8" x14ac:dyDescent="0.2">
      <c r="A1461" s="2" t="s">
        <v>1531</v>
      </c>
      <c r="B1461" s="2" t="s">
        <v>1446</v>
      </c>
      <c r="C1461" s="2" t="s">
        <v>27</v>
      </c>
      <c r="D1461" s="3">
        <v>1892</v>
      </c>
      <c r="E1461" s="4" t="s">
        <v>20</v>
      </c>
      <c r="F1461" s="5">
        <v>1.65</v>
      </c>
      <c r="G1461" s="4" t="s">
        <v>21</v>
      </c>
      <c r="H1461" s="6">
        <f t="shared" si="22"/>
        <v>3121.7999999999997</v>
      </c>
    </row>
    <row r="1462" spans="1:8" x14ac:dyDescent="0.2">
      <c r="A1462" s="2" t="s">
        <v>1532</v>
      </c>
      <c r="B1462" s="2" t="s">
        <v>1446</v>
      </c>
      <c r="C1462" s="2" t="s">
        <v>89</v>
      </c>
      <c r="D1462" s="3">
        <v>899</v>
      </c>
      <c r="E1462" s="4" t="s">
        <v>30</v>
      </c>
      <c r="F1462" s="5">
        <v>1.82</v>
      </c>
      <c r="G1462" s="4" t="s">
        <v>31</v>
      </c>
      <c r="H1462" s="6">
        <f t="shared" si="22"/>
        <v>1636.18</v>
      </c>
    </row>
    <row r="1463" spans="1:8" x14ac:dyDescent="0.2">
      <c r="A1463" s="2" t="s">
        <v>1533</v>
      </c>
      <c r="B1463" s="2" t="s">
        <v>1446</v>
      </c>
      <c r="C1463" s="2" t="s">
        <v>78</v>
      </c>
      <c r="D1463" s="3">
        <v>4141</v>
      </c>
      <c r="E1463" s="4" t="s">
        <v>38</v>
      </c>
      <c r="F1463" s="5">
        <v>2.66</v>
      </c>
      <c r="G1463" s="4" t="s">
        <v>39</v>
      </c>
      <c r="H1463" s="6">
        <f t="shared" si="22"/>
        <v>11015.060000000001</v>
      </c>
    </row>
    <row r="1464" spans="1:8" x14ac:dyDescent="0.2">
      <c r="A1464" s="2" t="s">
        <v>1534</v>
      </c>
      <c r="B1464" s="2" t="s">
        <v>1446</v>
      </c>
      <c r="C1464" s="2" t="s">
        <v>89</v>
      </c>
      <c r="D1464" s="3">
        <v>4970</v>
      </c>
      <c r="E1464" s="4" t="s">
        <v>30</v>
      </c>
      <c r="F1464" s="5">
        <v>1.92</v>
      </c>
      <c r="G1464" s="4" t="s">
        <v>31</v>
      </c>
      <c r="H1464" s="6">
        <f t="shared" si="22"/>
        <v>9542.4</v>
      </c>
    </row>
    <row r="1465" spans="1:8" x14ac:dyDescent="0.2">
      <c r="A1465" s="2" t="s">
        <v>1535</v>
      </c>
      <c r="B1465" s="2" t="s">
        <v>1446</v>
      </c>
      <c r="C1465" s="2" t="s">
        <v>48</v>
      </c>
      <c r="D1465" s="3">
        <v>4923</v>
      </c>
      <c r="E1465" s="4" t="s">
        <v>24</v>
      </c>
      <c r="F1465" s="5">
        <v>0.06</v>
      </c>
      <c r="G1465" s="4" t="s">
        <v>25</v>
      </c>
      <c r="H1465" s="6">
        <f t="shared" si="22"/>
        <v>295.38</v>
      </c>
    </row>
    <row r="1466" spans="1:8" x14ac:dyDescent="0.2">
      <c r="A1466" s="2" t="s">
        <v>1536</v>
      </c>
      <c r="B1466" s="2" t="s">
        <v>1446</v>
      </c>
      <c r="C1466" s="2" t="s">
        <v>29</v>
      </c>
      <c r="D1466" s="3">
        <v>4133</v>
      </c>
      <c r="E1466" s="4" t="s">
        <v>30</v>
      </c>
      <c r="F1466" s="5">
        <v>1.9</v>
      </c>
      <c r="G1466" s="4" t="s">
        <v>31</v>
      </c>
      <c r="H1466" s="6">
        <f t="shared" si="22"/>
        <v>7852.7</v>
      </c>
    </row>
    <row r="1467" spans="1:8" x14ac:dyDescent="0.2">
      <c r="A1467" s="2" t="s">
        <v>1537</v>
      </c>
      <c r="B1467" s="2" t="s">
        <v>1446</v>
      </c>
      <c r="C1467" s="2" t="s">
        <v>27</v>
      </c>
      <c r="D1467" s="3">
        <v>3960</v>
      </c>
      <c r="E1467" s="4" t="s">
        <v>20</v>
      </c>
      <c r="F1467" s="5">
        <v>1.99</v>
      </c>
      <c r="G1467" s="4" t="s">
        <v>21</v>
      </c>
      <c r="H1467" s="6">
        <f t="shared" si="22"/>
        <v>7880.4</v>
      </c>
    </row>
    <row r="1468" spans="1:8" x14ac:dyDescent="0.2">
      <c r="A1468" s="2" t="s">
        <v>1538</v>
      </c>
      <c r="B1468" s="2" t="s">
        <v>1446</v>
      </c>
      <c r="C1468" s="2" t="s">
        <v>147</v>
      </c>
      <c r="D1468" s="3">
        <v>4427</v>
      </c>
      <c r="E1468" s="4" t="s">
        <v>53</v>
      </c>
      <c r="F1468" s="5">
        <v>14.62</v>
      </c>
      <c r="G1468" s="4" t="s">
        <v>54</v>
      </c>
      <c r="H1468" s="6">
        <f t="shared" si="22"/>
        <v>64722.74</v>
      </c>
    </row>
    <row r="1469" spans="1:8" x14ac:dyDescent="0.2">
      <c r="A1469" s="2" t="s">
        <v>1539</v>
      </c>
      <c r="B1469" s="2" t="s">
        <v>1446</v>
      </c>
      <c r="C1469" s="2" t="s">
        <v>52</v>
      </c>
      <c r="D1469" s="3">
        <v>4286</v>
      </c>
      <c r="E1469" s="4" t="s">
        <v>53</v>
      </c>
      <c r="F1469" s="5">
        <v>11.1</v>
      </c>
      <c r="G1469" s="4" t="s">
        <v>54</v>
      </c>
      <c r="H1469" s="6">
        <f t="shared" si="22"/>
        <v>47574.6</v>
      </c>
    </row>
    <row r="1470" spans="1:8" x14ac:dyDescent="0.2">
      <c r="A1470" s="2" t="s">
        <v>1540</v>
      </c>
      <c r="B1470" s="2" t="s">
        <v>1446</v>
      </c>
      <c r="C1470" s="2" t="s">
        <v>37</v>
      </c>
      <c r="D1470" s="3">
        <v>4350</v>
      </c>
      <c r="E1470" s="4" t="s">
        <v>38</v>
      </c>
      <c r="F1470" s="5">
        <v>3.29</v>
      </c>
      <c r="G1470" s="4" t="s">
        <v>39</v>
      </c>
      <c r="H1470" s="6">
        <f t="shared" si="22"/>
        <v>14311.5</v>
      </c>
    </row>
    <row r="1471" spans="1:8" x14ac:dyDescent="0.2">
      <c r="A1471" s="2" t="s">
        <v>1541</v>
      </c>
      <c r="B1471" s="2" t="s">
        <v>1446</v>
      </c>
      <c r="C1471" s="2" t="s">
        <v>48</v>
      </c>
      <c r="D1471" s="3">
        <v>3133</v>
      </c>
      <c r="E1471" s="4" t="s">
        <v>24</v>
      </c>
      <c r="F1471" s="5">
        <v>0.1</v>
      </c>
      <c r="G1471" s="4" t="s">
        <v>25</v>
      </c>
      <c r="H1471" s="6">
        <f t="shared" si="22"/>
        <v>313.3</v>
      </c>
    </row>
    <row r="1472" spans="1:8" x14ac:dyDescent="0.2">
      <c r="A1472" s="2" t="s">
        <v>1542</v>
      </c>
      <c r="B1472" s="2" t="s">
        <v>1446</v>
      </c>
      <c r="C1472" s="2" t="s">
        <v>46</v>
      </c>
      <c r="D1472" s="3">
        <v>810</v>
      </c>
      <c r="E1472" s="4" t="s">
        <v>20</v>
      </c>
      <c r="F1472" s="5">
        <v>2.85</v>
      </c>
      <c r="G1472" s="4" t="s">
        <v>21</v>
      </c>
      <c r="H1472" s="6">
        <f t="shared" si="22"/>
        <v>2308.5</v>
      </c>
    </row>
    <row r="1473" spans="1:8" x14ac:dyDescent="0.2">
      <c r="A1473" s="2" t="s">
        <v>1543</v>
      </c>
      <c r="B1473" s="2" t="s">
        <v>1446</v>
      </c>
      <c r="C1473" s="2" t="s">
        <v>86</v>
      </c>
      <c r="D1473" s="3">
        <v>3918</v>
      </c>
      <c r="E1473" s="4" t="s">
        <v>72</v>
      </c>
      <c r="F1473" s="5">
        <v>8872.2000000000007</v>
      </c>
      <c r="G1473" s="4" t="s">
        <v>73</v>
      </c>
      <c r="H1473" s="6">
        <f t="shared" si="22"/>
        <v>34761279.600000001</v>
      </c>
    </row>
    <row r="1474" spans="1:8" x14ac:dyDescent="0.2">
      <c r="A1474" s="2" t="s">
        <v>1544</v>
      </c>
      <c r="B1474" s="2" t="s">
        <v>1446</v>
      </c>
      <c r="C1474" s="2" t="s">
        <v>27</v>
      </c>
      <c r="D1474" s="3">
        <v>2330</v>
      </c>
      <c r="E1474" s="4" t="s">
        <v>20</v>
      </c>
      <c r="F1474" s="5">
        <v>1.92</v>
      </c>
      <c r="G1474" s="4" t="s">
        <v>21</v>
      </c>
      <c r="H1474" s="6">
        <f t="shared" ref="H1474:H1537" si="23">D1474*F1474</f>
        <v>4473.5999999999995</v>
      </c>
    </row>
    <row r="1475" spans="1:8" x14ac:dyDescent="0.2">
      <c r="A1475" s="2" t="s">
        <v>1545</v>
      </c>
      <c r="B1475" s="2" t="s">
        <v>1446</v>
      </c>
      <c r="C1475" s="2" t="s">
        <v>29</v>
      </c>
      <c r="D1475" s="3">
        <v>3357</v>
      </c>
      <c r="E1475" s="4" t="s">
        <v>30</v>
      </c>
      <c r="F1475" s="5">
        <v>1.31</v>
      </c>
      <c r="G1475" s="4" t="s">
        <v>31</v>
      </c>
      <c r="H1475" s="6">
        <f t="shared" si="23"/>
        <v>4397.67</v>
      </c>
    </row>
    <row r="1476" spans="1:8" x14ac:dyDescent="0.2">
      <c r="A1476" s="2" t="s">
        <v>1546</v>
      </c>
      <c r="B1476" s="2" t="s">
        <v>1446</v>
      </c>
      <c r="C1476" s="2" t="s">
        <v>33</v>
      </c>
      <c r="D1476" s="3">
        <v>68</v>
      </c>
      <c r="E1476" s="4" t="s">
        <v>34</v>
      </c>
      <c r="F1476" s="5">
        <v>4.9400000000000004</v>
      </c>
      <c r="G1476" s="4" t="s">
        <v>35</v>
      </c>
      <c r="H1476" s="6">
        <f t="shared" si="23"/>
        <v>335.92</v>
      </c>
    </row>
    <row r="1477" spans="1:8" x14ac:dyDescent="0.2">
      <c r="A1477" s="2" t="s">
        <v>1547</v>
      </c>
      <c r="B1477" s="2" t="s">
        <v>1446</v>
      </c>
      <c r="C1477" s="2" t="s">
        <v>50</v>
      </c>
      <c r="D1477" s="3">
        <v>4267</v>
      </c>
      <c r="E1477" s="4" t="s">
        <v>20</v>
      </c>
      <c r="F1477" s="5">
        <v>0.7</v>
      </c>
      <c r="G1477" s="4" t="s">
        <v>21</v>
      </c>
      <c r="H1477" s="6">
        <f t="shared" si="23"/>
        <v>2986.8999999999996</v>
      </c>
    </row>
    <row r="1478" spans="1:8" x14ac:dyDescent="0.2">
      <c r="A1478" s="2" t="s">
        <v>1548</v>
      </c>
      <c r="B1478" s="2" t="s">
        <v>1446</v>
      </c>
      <c r="C1478" s="2" t="s">
        <v>44</v>
      </c>
      <c r="D1478" s="3">
        <v>2597</v>
      </c>
      <c r="E1478" s="4" t="s">
        <v>24</v>
      </c>
      <c r="F1478" s="5">
        <v>1.19</v>
      </c>
      <c r="G1478" s="4" t="s">
        <v>25</v>
      </c>
      <c r="H1478" s="6">
        <f t="shared" si="23"/>
        <v>3090.43</v>
      </c>
    </row>
    <row r="1479" spans="1:8" x14ac:dyDescent="0.2">
      <c r="A1479" s="2" t="s">
        <v>1549</v>
      </c>
      <c r="B1479" s="2" t="s">
        <v>1550</v>
      </c>
      <c r="C1479" s="2" t="s">
        <v>50</v>
      </c>
      <c r="D1479" s="3">
        <v>1277</v>
      </c>
      <c r="E1479" s="4" t="s">
        <v>20</v>
      </c>
      <c r="F1479" s="5">
        <v>0.96</v>
      </c>
      <c r="G1479" s="4" t="s">
        <v>21</v>
      </c>
      <c r="H1479" s="6">
        <f t="shared" si="23"/>
        <v>1225.9199999999998</v>
      </c>
    </row>
    <row r="1480" spans="1:8" x14ac:dyDescent="0.2">
      <c r="A1480" s="2" t="s">
        <v>1551</v>
      </c>
      <c r="B1480" s="2" t="s">
        <v>1550</v>
      </c>
      <c r="C1480" s="2" t="s">
        <v>46</v>
      </c>
      <c r="D1480" s="3">
        <v>2087</v>
      </c>
      <c r="E1480" s="4" t="s">
        <v>20</v>
      </c>
      <c r="F1480" s="5">
        <v>2.52</v>
      </c>
      <c r="G1480" s="4" t="s">
        <v>21</v>
      </c>
      <c r="H1480" s="6">
        <f t="shared" si="23"/>
        <v>5259.24</v>
      </c>
    </row>
    <row r="1481" spans="1:8" x14ac:dyDescent="0.2">
      <c r="A1481" s="2" t="s">
        <v>1552</v>
      </c>
      <c r="B1481" s="2" t="s">
        <v>1550</v>
      </c>
      <c r="C1481" s="2" t="s">
        <v>29</v>
      </c>
      <c r="D1481" s="3">
        <v>3479</v>
      </c>
      <c r="E1481" s="4" t="s">
        <v>30</v>
      </c>
      <c r="F1481" s="5">
        <v>1.68</v>
      </c>
      <c r="G1481" s="4" t="s">
        <v>31</v>
      </c>
      <c r="H1481" s="6">
        <f t="shared" si="23"/>
        <v>5844.7199999999993</v>
      </c>
    </row>
    <row r="1482" spans="1:8" x14ac:dyDescent="0.2">
      <c r="A1482" s="2" t="s">
        <v>1553</v>
      </c>
      <c r="B1482" s="2" t="s">
        <v>1550</v>
      </c>
      <c r="C1482" s="2" t="s">
        <v>147</v>
      </c>
      <c r="D1482" s="3">
        <v>2267</v>
      </c>
      <c r="E1482" s="4" t="s">
        <v>53</v>
      </c>
      <c r="F1482" s="5">
        <v>15.93</v>
      </c>
      <c r="G1482" s="4" t="s">
        <v>54</v>
      </c>
      <c r="H1482" s="6">
        <f t="shared" si="23"/>
        <v>36113.31</v>
      </c>
    </row>
    <row r="1483" spans="1:8" x14ac:dyDescent="0.2">
      <c r="A1483" s="2" t="s">
        <v>1554</v>
      </c>
      <c r="B1483" s="2" t="s">
        <v>1550</v>
      </c>
      <c r="C1483" s="2" t="s">
        <v>67</v>
      </c>
      <c r="D1483" s="3">
        <v>1678</v>
      </c>
      <c r="E1483" s="4" t="s">
        <v>24</v>
      </c>
      <c r="F1483" s="5">
        <v>0.42</v>
      </c>
      <c r="G1483" s="4" t="s">
        <v>25</v>
      </c>
      <c r="H1483" s="6">
        <f t="shared" si="23"/>
        <v>704.76</v>
      </c>
    </row>
    <row r="1484" spans="1:8" x14ac:dyDescent="0.2">
      <c r="A1484" s="2" t="s">
        <v>1555</v>
      </c>
      <c r="B1484" s="2" t="s">
        <v>1550</v>
      </c>
      <c r="C1484" s="2" t="s">
        <v>29</v>
      </c>
      <c r="D1484" s="3">
        <v>3962</v>
      </c>
      <c r="E1484" s="4" t="s">
        <v>30</v>
      </c>
      <c r="F1484" s="5">
        <v>1.21</v>
      </c>
      <c r="G1484" s="4" t="s">
        <v>31</v>
      </c>
      <c r="H1484" s="6">
        <f t="shared" si="23"/>
        <v>4794.0199999999995</v>
      </c>
    </row>
    <row r="1485" spans="1:8" x14ac:dyDescent="0.2">
      <c r="A1485" s="2" t="s">
        <v>1556</v>
      </c>
      <c r="B1485" s="2" t="s">
        <v>1550</v>
      </c>
      <c r="C1485" s="2" t="s">
        <v>29</v>
      </c>
      <c r="D1485" s="3">
        <v>4555</v>
      </c>
      <c r="E1485" s="4" t="s">
        <v>30</v>
      </c>
      <c r="F1485" s="5">
        <v>1.58</v>
      </c>
      <c r="G1485" s="4" t="s">
        <v>31</v>
      </c>
      <c r="H1485" s="6">
        <f t="shared" si="23"/>
        <v>7196.9000000000005</v>
      </c>
    </row>
    <row r="1486" spans="1:8" x14ac:dyDescent="0.2">
      <c r="A1486" s="2" t="s">
        <v>1557</v>
      </c>
      <c r="B1486" s="2" t="s">
        <v>1550</v>
      </c>
      <c r="C1486" s="2" t="s">
        <v>71</v>
      </c>
      <c r="D1486" s="3">
        <v>4742</v>
      </c>
      <c r="E1486" s="4" t="s">
        <v>72</v>
      </c>
      <c r="F1486" s="5">
        <v>2606.61</v>
      </c>
      <c r="G1486" s="4" t="s">
        <v>73</v>
      </c>
      <c r="H1486" s="6">
        <f t="shared" si="23"/>
        <v>12360544.620000001</v>
      </c>
    </row>
    <row r="1487" spans="1:8" x14ac:dyDescent="0.2">
      <c r="A1487" s="2" t="s">
        <v>1558</v>
      </c>
      <c r="B1487" s="2" t="s">
        <v>1550</v>
      </c>
      <c r="C1487" s="2" t="s">
        <v>67</v>
      </c>
      <c r="D1487" s="3">
        <v>1141</v>
      </c>
      <c r="E1487" s="4" t="s">
        <v>24</v>
      </c>
      <c r="F1487" s="5">
        <v>0.56000000000000005</v>
      </c>
      <c r="G1487" s="4" t="s">
        <v>25</v>
      </c>
      <c r="H1487" s="6">
        <f t="shared" si="23"/>
        <v>638.96</v>
      </c>
    </row>
    <row r="1488" spans="1:8" x14ac:dyDescent="0.2">
      <c r="A1488" s="2" t="s">
        <v>1559</v>
      </c>
      <c r="B1488" s="2" t="s">
        <v>1550</v>
      </c>
      <c r="C1488" s="2" t="s">
        <v>50</v>
      </c>
      <c r="D1488" s="3">
        <v>1892</v>
      </c>
      <c r="E1488" s="4" t="s">
        <v>20</v>
      </c>
      <c r="F1488" s="5">
        <v>0.97</v>
      </c>
      <c r="G1488" s="4" t="s">
        <v>21</v>
      </c>
      <c r="H1488" s="6">
        <f t="shared" si="23"/>
        <v>1835.24</v>
      </c>
    </row>
    <row r="1489" spans="1:8" x14ac:dyDescent="0.2">
      <c r="A1489" s="2" t="s">
        <v>1560</v>
      </c>
      <c r="B1489" s="2" t="s">
        <v>1550</v>
      </c>
      <c r="C1489" s="2" t="s">
        <v>118</v>
      </c>
      <c r="D1489" s="3">
        <v>831</v>
      </c>
      <c r="E1489" s="4" t="s">
        <v>24</v>
      </c>
      <c r="F1489" s="5">
        <v>0.55000000000000004</v>
      </c>
      <c r="G1489" s="4" t="s">
        <v>25</v>
      </c>
      <c r="H1489" s="6">
        <f t="shared" si="23"/>
        <v>457.05</v>
      </c>
    </row>
    <row r="1490" spans="1:8" x14ac:dyDescent="0.2">
      <c r="A1490" s="2" t="s">
        <v>1561</v>
      </c>
      <c r="B1490" s="2" t="s">
        <v>1550</v>
      </c>
      <c r="C1490" s="2" t="s">
        <v>67</v>
      </c>
      <c r="D1490" s="3">
        <v>2782</v>
      </c>
      <c r="E1490" s="4" t="s">
        <v>24</v>
      </c>
      <c r="F1490" s="5">
        <v>0.54</v>
      </c>
      <c r="G1490" s="4" t="s">
        <v>25</v>
      </c>
      <c r="H1490" s="6">
        <f t="shared" si="23"/>
        <v>1502.2800000000002</v>
      </c>
    </row>
    <row r="1491" spans="1:8" x14ac:dyDescent="0.2">
      <c r="A1491" s="2" t="s">
        <v>1562</v>
      </c>
      <c r="B1491" s="2" t="s">
        <v>1550</v>
      </c>
      <c r="C1491" s="2" t="s">
        <v>147</v>
      </c>
      <c r="D1491" s="3">
        <v>436</v>
      </c>
      <c r="E1491" s="4" t="s">
        <v>53</v>
      </c>
      <c r="F1491" s="5">
        <v>9.2899999999999991</v>
      </c>
      <c r="G1491" s="4" t="s">
        <v>54</v>
      </c>
      <c r="H1491" s="6">
        <f t="shared" si="23"/>
        <v>4050.4399999999996</v>
      </c>
    </row>
    <row r="1492" spans="1:8" x14ac:dyDescent="0.2">
      <c r="A1492" s="2" t="s">
        <v>1563</v>
      </c>
      <c r="B1492" s="2" t="s">
        <v>1550</v>
      </c>
      <c r="C1492" s="2" t="s">
        <v>33</v>
      </c>
      <c r="D1492" s="3">
        <v>756</v>
      </c>
      <c r="E1492" s="4" t="s">
        <v>34</v>
      </c>
      <c r="F1492" s="5">
        <v>5.56</v>
      </c>
      <c r="G1492" s="4" t="s">
        <v>35</v>
      </c>
      <c r="H1492" s="6">
        <f t="shared" si="23"/>
        <v>4203.3599999999997</v>
      </c>
    </row>
    <row r="1493" spans="1:8" x14ac:dyDescent="0.2">
      <c r="A1493" s="2" t="s">
        <v>1564</v>
      </c>
      <c r="B1493" s="2" t="s">
        <v>1550</v>
      </c>
      <c r="C1493" s="2" t="s">
        <v>48</v>
      </c>
      <c r="D1493" s="3">
        <v>4927</v>
      </c>
      <c r="E1493" s="4" t="s">
        <v>24</v>
      </c>
      <c r="F1493" s="5">
        <v>0.12</v>
      </c>
      <c r="G1493" s="4" t="s">
        <v>25</v>
      </c>
      <c r="H1493" s="6">
        <f t="shared" si="23"/>
        <v>591.24</v>
      </c>
    </row>
    <row r="1494" spans="1:8" x14ac:dyDescent="0.2">
      <c r="A1494" s="2" t="s">
        <v>1565</v>
      </c>
      <c r="B1494" s="2" t="s">
        <v>1550</v>
      </c>
      <c r="C1494" s="2" t="s">
        <v>27</v>
      </c>
      <c r="D1494" s="3">
        <v>2165</v>
      </c>
      <c r="E1494" s="4" t="s">
        <v>20</v>
      </c>
      <c r="F1494" s="5">
        <v>1.47</v>
      </c>
      <c r="G1494" s="4" t="s">
        <v>21</v>
      </c>
      <c r="H1494" s="6">
        <f t="shared" si="23"/>
        <v>3182.5499999999997</v>
      </c>
    </row>
    <row r="1495" spans="1:8" x14ac:dyDescent="0.2">
      <c r="A1495" s="2" t="s">
        <v>1566</v>
      </c>
      <c r="B1495" s="2" t="s">
        <v>1550</v>
      </c>
      <c r="C1495" s="2" t="s">
        <v>27</v>
      </c>
      <c r="D1495" s="3">
        <v>4999</v>
      </c>
      <c r="E1495" s="4" t="s">
        <v>20</v>
      </c>
      <c r="F1495" s="5">
        <v>1.25</v>
      </c>
      <c r="G1495" s="4" t="s">
        <v>21</v>
      </c>
      <c r="H1495" s="6">
        <f t="shared" si="23"/>
        <v>6248.75</v>
      </c>
    </row>
    <row r="1496" spans="1:8" x14ac:dyDescent="0.2">
      <c r="A1496" s="2" t="s">
        <v>1567</v>
      </c>
      <c r="B1496" s="2" t="s">
        <v>1550</v>
      </c>
      <c r="C1496" s="2" t="s">
        <v>67</v>
      </c>
      <c r="D1496" s="3">
        <v>3292</v>
      </c>
      <c r="E1496" s="4" t="s">
        <v>24</v>
      </c>
      <c r="F1496" s="5">
        <v>0.48</v>
      </c>
      <c r="G1496" s="4" t="s">
        <v>25</v>
      </c>
      <c r="H1496" s="6">
        <f t="shared" si="23"/>
        <v>1580.1599999999999</v>
      </c>
    </row>
    <row r="1497" spans="1:8" x14ac:dyDescent="0.2">
      <c r="A1497" s="2" t="s">
        <v>1568</v>
      </c>
      <c r="B1497" s="2" t="s">
        <v>1550</v>
      </c>
      <c r="C1497" s="2" t="s">
        <v>78</v>
      </c>
      <c r="D1497" s="3">
        <v>2356</v>
      </c>
      <c r="E1497" s="4" t="s">
        <v>38</v>
      </c>
      <c r="F1497" s="5">
        <v>2.71</v>
      </c>
      <c r="G1497" s="4" t="s">
        <v>39</v>
      </c>
      <c r="H1497" s="6">
        <f t="shared" si="23"/>
        <v>6384.76</v>
      </c>
    </row>
    <row r="1498" spans="1:8" x14ac:dyDescent="0.2">
      <c r="A1498" s="2" t="s">
        <v>1569</v>
      </c>
      <c r="B1498" s="2" t="s">
        <v>1550</v>
      </c>
      <c r="C1498" s="2" t="s">
        <v>147</v>
      </c>
      <c r="D1498" s="3">
        <v>480</v>
      </c>
      <c r="E1498" s="4" t="s">
        <v>53</v>
      </c>
      <c r="F1498" s="5">
        <v>15.57</v>
      </c>
      <c r="G1498" s="4" t="s">
        <v>54</v>
      </c>
      <c r="H1498" s="6">
        <f t="shared" si="23"/>
        <v>7473.6</v>
      </c>
    </row>
    <row r="1499" spans="1:8" x14ac:dyDescent="0.2">
      <c r="A1499" s="2" t="s">
        <v>1570</v>
      </c>
      <c r="B1499" s="2" t="s">
        <v>1550</v>
      </c>
      <c r="C1499" s="2" t="s">
        <v>118</v>
      </c>
      <c r="D1499" s="3">
        <v>4059</v>
      </c>
      <c r="E1499" s="4" t="s">
        <v>24</v>
      </c>
      <c r="F1499" s="5">
        <v>0.71</v>
      </c>
      <c r="G1499" s="4" t="s">
        <v>25</v>
      </c>
      <c r="H1499" s="6">
        <f t="shared" si="23"/>
        <v>2881.89</v>
      </c>
    </row>
    <row r="1500" spans="1:8" x14ac:dyDescent="0.2">
      <c r="A1500" s="2" t="s">
        <v>1571</v>
      </c>
      <c r="B1500" s="2" t="s">
        <v>1550</v>
      </c>
      <c r="C1500" s="2" t="s">
        <v>44</v>
      </c>
      <c r="D1500" s="3">
        <v>4254</v>
      </c>
      <c r="E1500" s="4" t="s">
        <v>24</v>
      </c>
      <c r="F1500" s="5">
        <v>1.1000000000000001</v>
      </c>
      <c r="G1500" s="4" t="s">
        <v>25</v>
      </c>
      <c r="H1500" s="6">
        <f t="shared" si="23"/>
        <v>4679.4000000000005</v>
      </c>
    </row>
    <row r="1501" spans="1:8" x14ac:dyDescent="0.2">
      <c r="A1501" s="2" t="s">
        <v>1572</v>
      </c>
      <c r="B1501" s="2" t="s">
        <v>1550</v>
      </c>
      <c r="C1501" s="2" t="s">
        <v>37</v>
      </c>
      <c r="D1501" s="3">
        <v>4921</v>
      </c>
      <c r="E1501" s="4" t="s">
        <v>38</v>
      </c>
      <c r="F1501" s="5">
        <v>3.53</v>
      </c>
      <c r="G1501" s="4" t="s">
        <v>39</v>
      </c>
      <c r="H1501" s="6">
        <f t="shared" si="23"/>
        <v>17371.129999999997</v>
      </c>
    </row>
    <row r="1502" spans="1:8" x14ac:dyDescent="0.2">
      <c r="A1502" s="2" t="s">
        <v>1573</v>
      </c>
      <c r="B1502" s="2" t="s">
        <v>1550</v>
      </c>
      <c r="C1502" s="2" t="s">
        <v>42</v>
      </c>
      <c r="D1502" s="3">
        <v>1398</v>
      </c>
      <c r="E1502" s="4" t="s">
        <v>24</v>
      </c>
      <c r="F1502" s="5">
        <v>5.52</v>
      </c>
      <c r="G1502" s="4" t="s">
        <v>25</v>
      </c>
      <c r="H1502" s="6">
        <f t="shared" si="23"/>
        <v>7716.9599999999991</v>
      </c>
    </row>
    <row r="1503" spans="1:8" x14ac:dyDescent="0.2">
      <c r="A1503" s="2" t="s">
        <v>1574</v>
      </c>
      <c r="B1503" s="2" t="s">
        <v>1550</v>
      </c>
      <c r="C1503" s="2" t="s">
        <v>19</v>
      </c>
      <c r="D1503" s="3">
        <v>1969</v>
      </c>
      <c r="E1503" s="4" t="s">
        <v>20</v>
      </c>
      <c r="F1503" s="5">
        <v>1.49</v>
      </c>
      <c r="G1503" s="4" t="s">
        <v>21</v>
      </c>
      <c r="H1503" s="6">
        <f t="shared" si="23"/>
        <v>2933.81</v>
      </c>
    </row>
    <row r="1504" spans="1:8" x14ac:dyDescent="0.2">
      <c r="A1504" s="2" t="s">
        <v>1575</v>
      </c>
      <c r="B1504" s="2" t="s">
        <v>1550</v>
      </c>
      <c r="C1504" s="2" t="s">
        <v>118</v>
      </c>
      <c r="D1504" s="3">
        <v>721</v>
      </c>
      <c r="E1504" s="4" t="s">
        <v>24</v>
      </c>
      <c r="F1504" s="5">
        <v>1.1000000000000001</v>
      </c>
      <c r="G1504" s="4" t="s">
        <v>25</v>
      </c>
      <c r="H1504" s="6">
        <f t="shared" si="23"/>
        <v>793.1</v>
      </c>
    </row>
    <row r="1505" spans="1:8" x14ac:dyDescent="0.2">
      <c r="A1505" s="2" t="s">
        <v>1576</v>
      </c>
      <c r="B1505" s="2" t="s">
        <v>1550</v>
      </c>
      <c r="C1505" s="2" t="s">
        <v>67</v>
      </c>
      <c r="D1505" s="3">
        <v>2902</v>
      </c>
      <c r="E1505" s="4" t="s">
        <v>24</v>
      </c>
      <c r="F1505" s="5">
        <v>0.5</v>
      </c>
      <c r="G1505" s="4" t="s">
        <v>25</v>
      </c>
      <c r="H1505" s="6">
        <f t="shared" si="23"/>
        <v>1451</v>
      </c>
    </row>
    <row r="1506" spans="1:8" x14ac:dyDescent="0.2">
      <c r="A1506" s="2" t="s">
        <v>1577</v>
      </c>
      <c r="B1506" s="2" t="s">
        <v>1550</v>
      </c>
      <c r="C1506" s="2" t="s">
        <v>67</v>
      </c>
      <c r="D1506" s="3">
        <v>4811</v>
      </c>
      <c r="E1506" s="4" t="s">
        <v>24</v>
      </c>
      <c r="F1506" s="5">
        <v>0.36</v>
      </c>
      <c r="G1506" s="4" t="s">
        <v>25</v>
      </c>
      <c r="H1506" s="6">
        <f t="shared" si="23"/>
        <v>1731.96</v>
      </c>
    </row>
    <row r="1507" spans="1:8" x14ac:dyDescent="0.2">
      <c r="A1507" s="2" t="s">
        <v>1578</v>
      </c>
      <c r="B1507" s="2" t="s">
        <v>1550</v>
      </c>
      <c r="C1507" s="2" t="s">
        <v>33</v>
      </c>
      <c r="D1507" s="3">
        <v>572</v>
      </c>
      <c r="E1507" s="4" t="s">
        <v>34</v>
      </c>
      <c r="F1507" s="5">
        <v>5.8</v>
      </c>
      <c r="G1507" s="4" t="s">
        <v>35</v>
      </c>
      <c r="H1507" s="6">
        <f t="shared" si="23"/>
        <v>3317.6</v>
      </c>
    </row>
    <row r="1508" spans="1:8" x14ac:dyDescent="0.2">
      <c r="A1508" s="2" t="s">
        <v>1579</v>
      </c>
      <c r="B1508" s="2" t="s">
        <v>1550</v>
      </c>
      <c r="C1508" s="2" t="s">
        <v>29</v>
      </c>
      <c r="D1508" s="3">
        <v>2340</v>
      </c>
      <c r="E1508" s="4" t="s">
        <v>30</v>
      </c>
      <c r="F1508" s="5">
        <v>1.87</v>
      </c>
      <c r="G1508" s="4" t="s">
        <v>31</v>
      </c>
      <c r="H1508" s="6">
        <f t="shared" si="23"/>
        <v>4375.8</v>
      </c>
    </row>
    <row r="1509" spans="1:8" x14ac:dyDescent="0.2">
      <c r="A1509" s="2" t="s">
        <v>1580</v>
      </c>
      <c r="B1509" s="2" t="s">
        <v>1550</v>
      </c>
      <c r="C1509" s="2" t="s">
        <v>29</v>
      </c>
      <c r="D1509" s="3">
        <v>4785</v>
      </c>
      <c r="E1509" s="4" t="s">
        <v>30</v>
      </c>
      <c r="F1509" s="5">
        <v>1.42</v>
      </c>
      <c r="G1509" s="4" t="s">
        <v>31</v>
      </c>
      <c r="H1509" s="6">
        <f t="shared" si="23"/>
        <v>6794.7</v>
      </c>
    </row>
    <row r="1510" spans="1:8" x14ac:dyDescent="0.2">
      <c r="A1510" s="2" t="s">
        <v>1581</v>
      </c>
      <c r="B1510" s="2" t="s">
        <v>1550</v>
      </c>
      <c r="C1510" s="2" t="s">
        <v>86</v>
      </c>
      <c r="D1510" s="3">
        <v>1863</v>
      </c>
      <c r="E1510" s="4" t="s">
        <v>72</v>
      </c>
      <c r="F1510" s="5">
        <v>8648.91</v>
      </c>
      <c r="G1510" s="4" t="s">
        <v>73</v>
      </c>
      <c r="H1510" s="6">
        <f t="shared" si="23"/>
        <v>16112919.33</v>
      </c>
    </row>
    <row r="1511" spans="1:8" x14ac:dyDescent="0.2">
      <c r="A1511" s="2" t="s">
        <v>1582</v>
      </c>
      <c r="B1511" s="2" t="s">
        <v>1550</v>
      </c>
      <c r="C1511" s="2" t="s">
        <v>44</v>
      </c>
      <c r="D1511" s="3">
        <v>3735</v>
      </c>
      <c r="E1511" s="4" t="s">
        <v>24</v>
      </c>
      <c r="F1511" s="5">
        <v>1.55</v>
      </c>
      <c r="G1511" s="4" t="s">
        <v>25</v>
      </c>
      <c r="H1511" s="6">
        <f t="shared" si="23"/>
        <v>5789.25</v>
      </c>
    </row>
    <row r="1512" spans="1:8" x14ac:dyDescent="0.2">
      <c r="A1512" s="2" t="s">
        <v>1583</v>
      </c>
      <c r="B1512" s="2" t="s">
        <v>1550</v>
      </c>
      <c r="C1512" s="2" t="s">
        <v>46</v>
      </c>
      <c r="D1512" s="3">
        <v>48</v>
      </c>
      <c r="E1512" s="4" t="s">
        <v>20</v>
      </c>
      <c r="F1512" s="5">
        <v>2.52</v>
      </c>
      <c r="G1512" s="4" t="s">
        <v>21</v>
      </c>
      <c r="H1512" s="6">
        <f t="shared" si="23"/>
        <v>120.96000000000001</v>
      </c>
    </row>
    <row r="1513" spans="1:8" x14ac:dyDescent="0.2">
      <c r="A1513" s="2" t="s">
        <v>1584</v>
      </c>
      <c r="B1513" s="2" t="s">
        <v>1550</v>
      </c>
      <c r="C1513" s="2" t="s">
        <v>52</v>
      </c>
      <c r="D1513" s="3">
        <v>4157</v>
      </c>
      <c r="E1513" s="4" t="s">
        <v>53</v>
      </c>
      <c r="F1513" s="5">
        <v>9.5299999999999994</v>
      </c>
      <c r="G1513" s="4" t="s">
        <v>54</v>
      </c>
      <c r="H1513" s="6">
        <f t="shared" si="23"/>
        <v>39616.21</v>
      </c>
    </row>
    <row r="1514" spans="1:8" x14ac:dyDescent="0.2">
      <c r="A1514" s="2" t="s">
        <v>1585</v>
      </c>
      <c r="B1514" s="2" t="s">
        <v>1550</v>
      </c>
      <c r="C1514" s="2" t="s">
        <v>27</v>
      </c>
      <c r="D1514" s="3">
        <v>4131</v>
      </c>
      <c r="E1514" s="4" t="s">
        <v>20</v>
      </c>
      <c r="F1514" s="5">
        <v>1.55</v>
      </c>
      <c r="G1514" s="4" t="s">
        <v>21</v>
      </c>
      <c r="H1514" s="6">
        <f t="shared" si="23"/>
        <v>6403.05</v>
      </c>
    </row>
    <row r="1515" spans="1:8" x14ac:dyDescent="0.2">
      <c r="A1515" s="2" t="s">
        <v>1586</v>
      </c>
      <c r="B1515" s="2" t="s">
        <v>1550</v>
      </c>
      <c r="C1515" s="2" t="s">
        <v>50</v>
      </c>
      <c r="D1515" s="3">
        <v>4214</v>
      </c>
      <c r="E1515" s="4" t="s">
        <v>20</v>
      </c>
      <c r="F1515" s="5">
        <v>1.27</v>
      </c>
      <c r="G1515" s="4" t="s">
        <v>21</v>
      </c>
      <c r="H1515" s="6">
        <f t="shared" si="23"/>
        <v>5351.78</v>
      </c>
    </row>
    <row r="1516" spans="1:8" x14ac:dyDescent="0.2">
      <c r="A1516" s="2" t="s">
        <v>1587</v>
      </c>
      <c r="B1516" s="2" t="s">
        <v>1550</v>
      </c>
      <c r="C1516" s="2" t="s">
        <v>29</v>
      </c>
      <c r="D1516" s="3">
        <v>4719</v>
      </c>
      <c r="E1516" s="4" t="s">
        <v>30</v>
      </c>
      <c r="F1516" s="5">
        <v>1.3</v>
      </c>
      <c r="G1516" s="4" t="s">
        <v>31</v>
      </c>
      <c r="H1516" s="6">
        <f t="shared" si="23"/>
        <v>6134.7</v>
      </c>
    </row>
    <row r="1517" spans="1:8" x14ac:dyDescent="0.2">
      <c r="A1517" s="2" t="s">
        <v>1588</v>
      </c>
      <c r="B1517" s="2" t="s">
        <v>1550</v>
      </c>
      <c r="C1517" s="2" t="s">
        <v>23</v>
      </c>
      <c r="D1517" s="3">
        <v>3099</v>
      </c>
      <c r="E1517" s="4" t="s">
        <v>24</v>
      </c>
      <c r="F1517" s="5">
        <v>15.38</v>
      </c>
      <c r="G1517" s="4" t="s">
        <v>25</v>
      </c>
      <c r="H1517" s="6">
        <f t="shared" si="23"/>
        <v>47662.62</v>
      </c>
    </row>
    <row r="1518" spans="1:8" x14ac:dyDescent="0.2">
      <c r="A1518" s="2" t="s">
        <v>1589</v>
      </c>
      <c r="B1518" s="2" t="s">
        <v>1550</v>
      </c>
      <c r="C1518" s="2" t="s">
        <v>42</v>
      </c>
      <c r="D1518" s="3">
        <v>2792</v>
      </c>
      <c r="E1518" s="4" t="s">
        <v>24</v>
      </c>
      <c r="F1518" s="5">
        <v>6.38</v>
      </c>
      <c r="G1518" s="4" t="s">
        <v>25</v>
      </c>
      <c r="H1518" s="6">
        <f t="shared" si="23"/>
        <v>17812.96</v>
      </c>
    </row>
    <row r="1519" spans="1:8" x14ac:dyDescent="0.2">
      <c r="A1519" s="2" t="s">
        <v>1590</v>
      </c>
      <c r="B1519" s="2" t="s">
        <v>1550</v>
      </c>
      <c r="C1519" s="2" t="s">
        <v>23</v>
      </c>
      <c r="D1519" s="3">
        <v>3784</v>
      </c>
      <c r="E1519" s="4" t="s">
        <v>24</v>
      </c>
      <c r="F1519" s="5">
        <v>17.38</v>
      </c>
      <c r="G1519" s="4" t="s">
        <v>25</v>
      </c>
      <c r="H1519" s="6">
        <f t="shared" si="23"/>
        <v>65765.919999999998</v>
      </c>
    </row>
    <row r="1520" spans="1:8" x14ac:dyDescent="0.2">
      <c r="A1520" s="2" t="s">
        <v>1591</v>
      </c>
      <c r="B1520" s="2" t="s">
        <v>1550</v>
      </c>
      <c r="C1520" s="2" t="s">
        <v>33</v>
      </c>
      <c r="D1520" s="3">
        <v>3958</v>
      </c>
      <c r="E1520" s="4" t="s">
        <v>34</v>
      </c>
      <c r="F1520" s="5">
        <v>3.79</v>
      </c>
      <c r="G1520" s="4" t="s">
        <v>35</v>
      </c>
      <c r="H1520" s="6">
        <f t="shared" si="23"/>
        <v>15000.82</v>
      </c>
    </row>
    <row r="1521" spans="1:8" x14ac:dyDescent="0.2">
      <c r="A1521" s="2" t="s">
        <v>1592</v>
      </c>
      <c r="B1521" s="2" t="s">
        <v>1550</v>
      </c>
      <c r="C1521" s="2" t="s">
        <v>27</v>
      </c>
      <c r="D1521" s="3">
        <v>3144</v>
      </c>
      <c r="E1521" s="4" t="s">
        <v>20</v>
      </c>
      <c r="F1521" s="5">
        <v>1.96</v>
      </c>
      <c r="G1521" s="4" t="s">
        <v>21</v>
      </c>
      <c r="H1521" s="6">
        <f t="shared" si="23"/>
        <v>6162.24</v>
      </c>
    </row>
    <row r="1522" spans="1:8" x14ac:dyDescent="0.2">
      <c r="A1522" s="2" t="s">
        <v>1593</v>
      </c>
      <c r="B1522" s="2" t="s">
        <v>1550</v>
      </c>
      <c r="C1522" s="2" t="s">
        <v>42</v>
      </c>
      <c r="D1522" s="3">
        <v>1893</v>
      </c>
      <c r="E1522" s="4" t="s">
        <v>24</v>
      </c>
      <c r="F1522" s="5">
        <v>5.9</v>
      </c>
      <c r="G1522" s="4" t="s">
        <v>25</v>
      </c>
      <c r="H1522" s="6">
        <f t="shared" si="23"/>
        <v>11168.7</v>
      </c>
    </row>
    <row r="1523" spans="1:8" x14ac:dyDescent="0.2">
      <c r="A1523" s="2" t="s">
        <v>1594</v>
      </c>
      <c r="B1523" s="2" t="s">
        <v>1550</v>
      </c>
      <c r="C1523" s="2" t="s">
        <v>52</v>
      </c>
      <c r="D1523" s="3">
        <v>2902</v>
      </c>
      <c r="E1523" s="4" t="s">
        <v>53</v>
      </c>
      <c r="F1523" s="5">
        <v>11.58</v>
      </c>
      <c r="G1523" s="4" t="s">
        <v>54</v>
      </c>
      <c r="H1523" s="6">
        <f t="shared" si="23"/>
        <v>33605.160000000003</v>
      </c>
    </row>
    <row r="1524" spans="1:8" x14ac:dyDescent="0.2">
      <c r="A1524" s="2" t="s">
        <v>1595</v>
      </c>
      <c r="B1524" s="2" t="s">
        <v>1550</v>
      </c>
      <c r="C1524" s="2" t="s">
        <v>33</v>
      </c>
      <c r="D1524" s="3">
        <v>2167</v>
      </c>
      <c r="E1524" s="4" t="s">
        <v>34</v>
      </c>
      <c r="F1524" s="5">
        <v>4.12</v>
      </c>
      <c r="G1524" s="4" t="s">
        <v>35</v>
      </c>
      <c r="H1524" s="6">
        <f t="shared" si="23"/>
        <v>8928.0400000000009</v>
      </c>
    </row>
    <row r="1525" spans="1:8" x14ac:dyDescent="0.2">
      <c r="A1525" s="2" t="s">
        <v>1596</v>
      </c>
      <c r="B1525" s="2" t="s">
        <v>1550</v>
      </c>
      <c r="C1525" s="2" t="s">
        <v>27</v>
      </c>
      <c r="D1525" s="3">
        <v>3278</v>
      </c>
      <c r="E1525" s="4" t="s">
        <v>20</v>
      </c>
      <c r="F1525" s="5">
        <v>2.0099999999999998</v>
      </c>
      <c r="G1525" s="4" t="s">
        <v>21</v>
      </c>
      <c r="H1525" s="6">
        <f t="shared" si="23"/>
        <v>6588.78</v>
      </c>
    </row>
    <row r="1526" spans="1:8" x14ac:dyDescent="0.2">
      <c r="A1526" s="2" t="s">
        <v>1597</v>
      </c>
      <c r="B1526" s="2" t="s">
        <v>1550</v>
      </c>
      <c r="C1526" s="2" t="s">
        <v>57</v>
      </c>
      <c r="D1526" s="3">
        <v>632</v>
      </c>
      <c r="E1526" s="4" t="s">
        <v>20</v>
      </c>
      <c r="F1526" s="5">
        <v>0.82</v>
      </c>
      <c r="G1526" s="4" t="s">
        <v>21</v>
      </c>
      <c r="H1526" s="6">
        <f t="shared" si="23"/>
        <v>518.24</v>
      </c>
    </row>
    <row r="1527" spans="1:8" x14ac:dyDescent="0.2">
      <c r="A1527" s="2" t="s">
        <v>1598</v>
      </c>
      <c r="B1527" s="2" t="s">
        <v>1550</v>
      </c>
      <c r="C1527" s="2" t="s">
        <v>118</v>
      </c>
      <c r="D1527" s="3">
        <v>3913</v>
      </c>
      <c r="E1527" s="4" t="s">
        <v>24</v>
      </c>
      <c r="F1527" s="5">
        <v>0.62</v>
      </c>
      <c r="G1527" s="4" t="s">
        <v>25</v>
      </c>
      <c r="H1527" s="6">
        <f t="shared" si="23"/>
        <v>2426.06</v>
      </c>
    </row>
    <row r="1528" spans="1:8" x14ac:dyDescent="0.2">
      <c r="A1528" s="2" t="s">
        <v>1599</v>
      </c>
      <c r="B1528" s="2" t="s">
        <v>1550</v>
      </c>
      <c r="C1528" s="2" t="s">
        <v>44</v>
      </c>
      <c r="D1528" s="3">
        <v>4709</v>
      </c>
      <c r="E1528" s="4" t="s">
        <v>24</v>
      </c>
      <c r="F1528" s="5">
        <v>1.0900000000000001</v>
      </c>
      <c r="G1528" s="4" t="s">
        <v>25</v>
      </c>
      <c r="H1528" s="6">
        <f t="shared" si="23"/>
        <v>5132.8100000000004</v>
      </c>
    </row>
    <row r="1529" spans="1:8" x14ac:dyDescent="0.2">
      <c r="A1529" s="2" t="s">
        <v>1600</v>
      </c>
      <c r="B1529" s="2" t="s">
        <v>1550</v>
      </c>
      <c r="C1529" s="2" t="s">
        <v>44</v>
      </c>
      <c r="D1529" s="3">
        <v>4097</v>
      </c>
      <c r="E1529" s="4" t="s">
        <v>24</v>
      </c>
      <c r="F1529" s="5">
        <v>1.42</v>
      </c>
      <c r="G1529" s="4" t="s">
        <v>25</v>
      </c>
      <c r="H1529" s="6">
        <f t="shared" si="23"/>
        <v>5817.74</v>
      </c>
    </row>
    <row r="1530" spans="1:8" x14ac:dyDescent="0.2">
      <c r="A1530" s="2" t="s">
        <v>1601</v>
      </c>
      <c r="B1530" s="2" t="s">
        <v>1550</v>
      </c>
      <c r="C1530" s="2" t="s">
        <v>42</v>
      </c>
      <c r="D1530" s="3">
        <v>1992</v>
      </c>
      <c r="E1530" s="4" t="s">
        <v>24</v>
      </c>
      <c r="F1530" s="5">
        <v>6.12</v>
      </c>
      <c r="G1530" s="4" t="s">
        <v>25</v>
      </c>
      <c r="H1530" s="6">
        <f t="shared" si="23"/>
        <v>12191.04</v>
      </c>
    </row>
    <row r="1531" spans="1:8" x14ac:dyDescent="0.2">
      <c r="A1531" s="2" t="s">
        <v>1602</v>
      </c>
      <c r="B1531" s="2" t="s">
        <v>1550</v>
      </c>
      <c r="C1531" s="2" t="s">
        <v>44</v>
      </c>
      <c r="D1531" s="3">
        <v>1887</v>
      </c>
      <c r="E1531" s="4" t="s">
        <v>24</v>
      </c>
      <c r="F1531" s="5">
        <v>1.04</v>
      </c>
      <c r="G1531" s="4" t="s">
        <v>25</v>
      </c>
      <c r="H1531" s="6">
        <f t="shared" si="23"/>
        <v>1962.48</v>
      </c>
    </row>
    <row r="1532" spans="1:8" x14ac:dyDescent="0.2">
      <c r="A1532" s="2" t="s">
        <v>1603</v>
      </c>
      <c r="B1532" s="2" t="s">
        <v>1604</v>
      </c>
      <c r="C1532" s="2" t="s">
        <v>42</v>
      </c>
      <c r="D1532" s="3">
        <v>2926</v>
      </c>
      <c r="E1532" s="4" t="s">
        <v>24</v>
      </c>
      <c r="F1532" s="5">
        <v>3.97</v>
      </c>
      <c r="G1532" s="4" t="s">
        <v>25</v>
      </c>
      <c r="H1532" s="6">
        <f t="shared" si="23"/>
        <v>11616.220000000001</v>
      </c>
    </row>
    <row r="1533" spans="1:8" x14ac:dyDescent="0.2">
      <c r="A1533" s="2" t="s">
        <v>1605</v>
      </c>
      <c r="B1533" s="2" t="s">
        <v>1604</v>
      </c>
      <c r="C1533" s="2" t="s">
        <v>50</v>
      </c>
      <c r="D1533" s="3">
        <v>992</v>
      </c>
      <c r="E1533" s="4" t="s">
        <v>20</v>
      </c>
      <c r="F1533" s="5">
        <v>1.25</v>
      </c>
      <c r="G1533" s="4" t="s">
        <v>21</v>
      </c>
      <c r="H1533" s="6">
        <f t="shared" si="23"/>
        <v>1240</v>
      </c>
    </row>
    <row r="1534" spans="1:8" x14ac:dyDescent="0.2">
      <c r="A1534" s="2" t="s">
        <v>1606</v>
      </c>
      <c r="B1534" s="2" t="s">
        <v>1604</v>
      </c>
      <c r="C1534" s="2" t="s">
        <v>48</v>
      </c>
      <c r="D1534" s="3">
        <v>64</v>
      </c>
      <c r="E1534" s="4" t="s">
        <v>24</v>
      </c>
      <c r="F1534" s="5">
        <v>0.16</v>
      </c>
      <c r="G1534" s="4" t="s">
        <v>25</v>
      </c>
      <c r="H1534" s="6">
        <f t="shared" si="23"/>
        <v>10.24</v>
      </c>
    </row>
    <row r="1535" spans="1:8" x14ac:dyDescent="0.2">
      <c r="A1535" s="2" t="s">
        <v>1607</v>
      </c>
      <c r="B1535" s="2" t="s">
        <v>1604</v>
      </c>
      <c r="C1535" s="2" t="s">
        <v>29</v>
      </c>
      <c r="D1535" s="3">
        <v>356</v>
      </c>
      <c r="E1535" s="4" t="s">
        <v>30</v>
      </c>
      <c r="F1535" s="5">
        <v>2.02</v>
      </c>
      <c r="G1535" s="4" t="s">
        <v>31</v>
      </c>
      <c r="H1535" s="6">
        <f t="shared" si="23"/>
        <v>719.12</v>
      </c>
    </row>
    <row r="1536" spans="1:8" x14ac:dyDescent="0.2">
      <c r="A1536" s="2" t="s">
        <v>1608</v>
      </c>
      <c r="B1536" s="2" t="s">
        <v>1604</v>
      </c>
      <c r="C1536" s="2" t="s">
        <v>19</v>
      </c>
      <c r="D1536" s="3">
        <v>2593</v>
      </c>
      <c r="E1536" s="4" t="s">
        <v>20</v>
      </c>
      <c r="F1536" s="5">
        <v>1.4</v>
      </c>
      <c r="G1536" s="4" t="s">
        <v>21</v>
      </c>
      <c r="H1536" s="6">
        <f t="shared" si="23"/>
        <v>3630.2</v>
      </c>
    </row>
    <row r="1537" spans="1:8" x14ac:dyDescent="0.2">
      <c r="A1537" s="2" t="s">
        <v>1609</v>
      </c>
      <c r="B1537" s="2" t="s">
        <v>1604</v>
      </c>
      <c r="C1537" s="2" t="s">
        <v>46</v>
      </c>
      <c r="D1537" s="3">
        <v>2260</v>
      </c>
      <c r="E1537" s="4" t="s">
        <v>20</v>
      </c>
      <c r="F1537" s="5">
        <v>2.98</v>
      </c>
      <c r="G1537" s="4" t="s">
        <v>21</v>
      </c>
      <c r="H1537" s="6">
        <f t="shared" si="23"/>
        <v>6734.8</v>
      </c>
    </row>
    <row r="1538" spans="1:8" x14ac:dyDescent="0.2">
      <c r="A1538" s="2" t="s">
        <v>1610</v>
      </c>
      <c r="B1538" s="2" t="s">
        <v>1604</v>
      </c>
      <c r="C1538" s="2" t="s">
        <v>78</v>
      </c>
      <c r="D1538" s="3">
        <v>2305</v>
      </c>
      <c r="E1538" s="4" t="s">
        <v>38</v>
      </c>
      <c r="F1538" s="5">
        <v>2.1800000000000002</v>
      </c>
      <c r="G1538" s="4" t="s">
        <v>39</v>
      </c>
      <c r="H1538" s="6">
        <f t="shared" ref="H1538:H1601" si="24">D1538*F1538</f>
        <v>5024.9000000000005</v>
      </c>
    </row>
    <row r="1539" spans="1:8" x14ac:dyDescent="0.2">
      <c r="A1539" s="2" t="s">
        <v>1611</v>
      </c>
      <c r="B1539" s="2" t="s">
        <v>1604</v>
      </c>
      <c r="C1539" s="2" t="s">
        <v>46</v>
      </c>
      <c r="D1539" s="3">
        <v>1060</v>
      </c>
      <c r="E1539" s="4" t="s">
        <v>20</v>
      </c>
      <c r="F1539" s="5">
        <v>2.11</v>
      </c>
      <c r="G1539" s="4" t="s">
        <v>21</v>
      </c>
      <c r="H1539" s="6">
        <f t="shared" si="24"/>
        <v>2236.6</v>
      </c>
    </row>
    <row r="1540" spans="1:8" x14ac:dyDescent="0.2">
      <c r="A1540" s="2" t="s">
        <v>1612</v>
      </c>
      <c r="B1540" s="2" t="s">
        <v>1604</v>
      </c>
      <c r="C1540" s="2" t="s">
        <v>52</v>
      </c>
      <c r="D1540" s="3">
        <v>3928</v>
      </c>
      <c r="E1540" s="4" t="s">
        <v>53</v>
      </c>
      <c r="F1540" s="5">
        <v>13.7</v>
      </c>
      <c r="G1540" s="4" t="s">
        <v>54</v>
      </c>
      <c r="H1540" s="6">
        <f t="shared" si="24"/>
        <v>53813.599999999999</v>
      </c>
    </row>
    <row r="1541" spans="1:8" x14ac:dyDescent="0.2">
      <c r="A1541" s="2" t="s">
        <v>1613</v>
      </c>
      <c r="B1541" s="2" t="s">
        <v>1604</v>
      </c>
      <c r="C1541" s="2" t="s">
        <v>37</v>
      </c>
      <c r="D1541" s="3">
        <v>4126</v>
      </c>
      <c r="E1541" s="4" t="s">
        <v>38</v>
      </c>
      <c r="F1541" s="5">
        <v>3.04</v>
      </c>
      <c r="G1541" s="4" t="s">
        <v>39</v>
      </c>
      <c r="H1541" s="6">
        <f t="shared" si="24"/>
        <v>12543.04</v>
      </c>
    </row>
    <row r="1542" spans="1:8" x14ac:dyDescent="0.2">
      <c r="A1542" s="2" t="s">
        <v>1614</v>
      </c>
      <c r="B1542" s="2" t="s">
        <v>1604</v>
      </c>
      <c r="C1542" s="2" t="s">
        <v>118</v>
      </c>
      <c r="D1542" s="3">
        <v>3755</v>
      </c>
      <c r="E1542" s="4" t="s">
        <v>24</v>
      </c>
      <c r="F1542" s="5">
        <v>1.08</v>
      </c>
      <c r="G1542" s="4" t="s">
        <v>25</v>
      </c>
      <c r="H1542" s="6">
        <f t="shared" si="24"/>
        <v>4055.4</v>
      </c>
    </row>
    <row r="1543" spans="1:8" x14ac:dyDescent="0.2">
      <c r="A1543" s="2" t="s">
        <v>1615</v>
      </c>
      <c r="B1543" s="2" t="s">
        <v>1604</v>
      </c>
      <c r="C1543" s="2" t="s">
        <v>78</v>
      </c>
      <c r="D1543" s="3">
        <v>3778</v>
      </c>
      <c r="E1543" s="4" t="s">
        <v>38</v>
      </c>
      <c r="F1543" s="5">
        <v>2.04</v>
      </c>
      <c r="G1543" s="4" t="s">
        <v>39</v>
      </c>
      <c r="H1543" s="6">
        <f t="shared" si="24"/>
        <v>7707.12</v>
      </c>
    </row>
    <row r="1544" spans="1:8" x14ac:dyDescent="0.2">
      <c r="A1544" s="2" t="s">
        <v>1616</v>
      </c>
      <c r="B1544" s="2" t="s">
        <v>1604</v>
      </c>
      <c r="C1544" s="2" t="s">
        <v>33</v>
      </c>
      <c r="D1544" s="3">
        <v>106</v>
      </c>
      <c r="E1544" s="4" t="s">
        <v>34</v>
      </c>
      <c r="F1544" s="5">
        <v>5.19</v>
      </c>
      <c r="G1544" s="4" t="s">
        <v>35</v>
      </c>
      <c r="H1544" s="6">
        <f t="shared" si="24"/>
        <v>550.14</v>
      </c>
    </row>
    <row r="1545" spans="1:8" x14ac:dyDescent="0.2">
      <c r="A1545" s="2" t="s">
        <v>1617</v>
      </c>
      <c r="B1545" s="2" t="s">
        <v>1604</v>
      </c>
      <c r="C1545" s="2" t="s">
        <v>67</v>
      </c>
      <c r="D1545" s="3">
        <v>4769</v>
      </c>
      <c r="E1545" s="4" t="s">
        <v>24</v>
      </c>
      <c r="F1545" s="5">
        <v>0.33</v>
      </c>
      <c r="G1545" s="4" t="s">
        <v>25</v>
      </c>
      <c r="H1545" s="6">
        <f t="shared" si="24"/>
        <v>1573.77</v>
      </c>
    </row>
    <row r="1546" spans="1:8" x14ac:dyDescent="0.2">
      <c r="A1546" s="2" t="s">
        <v>1618</v>
      </c>
      <c r="B1546" s="2" t="s">
        <v>1604</v>
      </c>
      <c r="C1546" s="2" t="s">
        <v>19</v>
      </c>
      <c r="D1546" s="3">
        <v>2137</v>
      </c>
      <c r="E1546" s="4" t="s">
        <v>20</v>
      </c>
      <c r="F1546" s="5">
        <v>1.21</v>
      </c>
      <c r="G1546" s="4" t="s">
        <v>21</v>
      </c>
      <c r="H1546" s="6">
        <f t="shared" si="24"/>
        <v>2585.77</v>
      </c>
    </row>
    <row r="1547" spans="1:8" x14ac:dyDescent="0.2">
      <c r="A1547" s="2" t="s">
        <v>1619</v>
      </c>
      <c r="B1547" s="2" t="s">
        <v>1604</v>
      </c>
      <c r="C1547" s="2" t="s">
        <v>86</v>
      </c>
      <c r="D1547" s="3">
        <v>1952</v>
      </c>
      <c r="E1547" s="4" t="s">
        <v>72</v>
      </c>
      <c r="F1547" s="5">
        <v>8177.17</v>
      </c>
      <c r="G1547" s="4" t="s">
        <v>73</v>
      </c>
      <c r="H1547" s="6">
        <f t="shared" si="24"/>
        <v>15961835.84</v>
      </c>
    </row>
    <row r="1548" spans="1:8" x14ac:dyDescent="0.2">
      <c r="A1548" s="2" t="s">
        <v>1620</v>
      </c>
      <c r="B1548" s="2" t="s">
        <v>1604</v>
      </c>
      <c r="C1548" s="2" t="s">
        <v>147</v>
      </c>
      <c r="D1548" s="3">
        <v>2820</v>
      </c>
      <c r="E1548" s="4" t="s">
        <v>53</v>
      </c>
      <c r="F1548" s="5">
        <v>10.93</v>
      </c>
      <c r="G1548" s="4" t="s">
        <v>54</v>
      </c>
      <c r="H1548" s="6">
        <f t="shared" si="24"/>
        <v>30822.6</v>
      </c>
    </row>
    <row r="1549" spans="1:8" x14ac:dyDescent="0.2">
      <c r="A1549" s="2" t="s">
        <v>1621</v>
      </c>
      <c r="B1549" s="2" t="s">
        <v>1604</v>
      </c>
      <c r="C1549" s="2" t="s">
        <v>48</v>
      </c>
      <c r="D1549" s="3">
        <v>3482</v>
      </c>
      <c r="E1549" s="4" t="s">
        <v>24</v>
      </c>
      <c r="F1549" s="5">
        <v>0.08</v>
      </c>
      <c r="G1549" s="4" t="s">
        <v>25</v>
      </c>
      <c r="H1549" s="6">
        <f t="shared" si="24"/>
        <v>278.56</v>
      </c>
    </row>
    <row r="1550" spans="1:8" x14ac:dyDescent="0.2">
      <c r="A1550" s="2" t="s">
        <v>1622</v>
      </c>
      <c r="B1550" s="2" t="s">
        <v>1604</v>
      </c>
      <c r="C1550" s="2" t="s">
        <v>19</v>
      </c>
      <c r="D1550" s="3">
        <v>3000</v>
      </c>
      <c r="E1550" s="4" t="s">
        <v>20</v>
      </c>
      <c r="F1550" s="5">
        <v>1.61</v>
      </c>
      <c r="G1550" s="4" t="s">
        <v>21</v>
      </c>
      <c r="H1550" s="6">
        <f t="shared" si="24"/>
        <v>4830</v>
      </c>
    </row>
    <row r="1551" spans="1:8" x14ac:dyDescent="0.2">
      <c r="A1551" s="2" t="s">
        <v>1623</v>
      </c>
      <c r="B1551" s="2" t="s">
        <v>1604</v>
      </c>
      <c r="C1551" s="2" t="s">
        <v>86</v>
      </c>
      <c r="D1551" s="3">
        <v>3702</v>
      </c>
      <c r="E1551" s="4" t="s">
        <v>72</v>
      </c>
      <c r="F1551" s="5">
        <v>8051.84</v>
      </c>
      <c r="G1551" s="4" t="s">
        <v>73</v>
      </c>
      <c r="H1551" s="6">
        <f t="shared" si="24"/>
        <v>29807911.68</v>
      </c>
    </row>
    <row r="1552" spans="1:8" x14ac:dyDescent="0.2">
      <c r="A1552" s="2" t="s">
        <v>1624</v>
      </c>
      <c r="B1552" s="2" t="s">
        <v>1604</v>
      </c>
      <c r="C1552" s="2" t="s">
        <v>89</v>
      </c>
      <c r="D1552" s="3">
        <v>4727</v>
      </c>
      <c r="E1552" s="4" t="s">
        <v>30</v>
      </c>
      <c r="F1552" s="5">
        <v>2.62</v>
      </c>
      <c r="G1552" s="4" t="s">
        <v>31</v>
      </c>
      <c r="H1552" s="6">
        <f t="shared" si="24"/>
        <v>12384.74</v>
      </c>
    </row>
    <row r="1553" spans="1:8" x14ac:dyDescent="0.2">
      <c r="A1553" s="2" t="s">
        <v>1625</v>
      </c>
      <c r="B1553" s="2" t="s">
        <v>1604</v>
      </c>
      <c r="C1553" s="2" t="s">
        <v>50</v>
      </c>
      <c r="D1553" s="3">
        <v>2221</v>
      </c>
      <c r="E1553" s="4" t="s">
        <v>20</v>
      </c>
      <c r="F1553" s="5">
        <v>1.18</v>
      </c>
      <c r="G1553" s="4" t="s">
        <v>21</v>
      </c>
      <c r="H1553" s="6">
        <f t="shared" si="24"/>
        <v>2620.7799999999997</v>
      </c>
    </row>
    <row r="1554" spans="1:8" x14ac:dyDescent="0.2">
      <c r="A1554" s="2" t="s">
        <v>1626</v>
      </c>
      <c r="B1554" s="2" t="s">
        <v>1604</v>
      </c>
      <c r="C1554" s="2" t="s">
        <v>29</v>
      </c>
      <c r="D1554" s="3">
        <v>3550</v>
      </c>
      <c r="E1554" s="4" t="s">
        <v>30</v>
      </c>
      <c r="F1554" s="5">
        <v>2.0299999999999998</v>
      </c>
      <c r="G1554" s="4" t="s">
        <v>31</v>
      </c>
      <c r="H1554" s="6">
        <f t="shared" si="24"/>
        <v>7206.4999999999991</v>
      </c>
    </row>
    <row r="1555" spans="1:8" x14ac:dyDescent="0.2">
      <c r="A1555" s="2" t="s">
        <v>1627</v>
      </c>
      <c r="B1555" s="2" t="s">
        <v>1604</v>
      </c>
      <c r="C1555" s="2" t="s">
        <v>44</v>
      </c>
      <c r="D1555" s="3">
        <v>1204</v>
      </c>
      <c r="E1555" s="4" t="s">
        <v>24</v>
      </c>
      <c r="F1555" s="5">
        <v>1.46</v>
      </c>
      <c r="G1555" s="4" t="s">
        <v>25</v>
      </c>
      <c r="H1555" s="6">
        <f t="shared" si="24"/>
        <v>1757.84</v>
      </c>
    </row>
    <row r="1556" spans="1:8" x14ac:dyDescent="0.2">
      <c r="A1556" s="2" t="s">
        <v>1628</v>
      </c>
      <c r="B1556" s="2" t="s">
        <v>1604</v>
      </c>
      <c r="C1556" s="2" t="s">
        <v>89</v>
      </c>
      <c r="D1556" s="3">
        <v>3884</v>
      </c>
      <c r="E1556" s="4" t="s">
        <v>30</v>
      </c>
      <c r="F1556" s="5">
        <v>2.77</v>
      </c>
      <c r="G1556" s="4" t="s">
        <v>31</v>
      </c>
      <c r="H1556" s="6">
        <f t="shared" si="24"/>
        <v>10758.68</v>
      </c>
    </row>
    <row r="1557" spans="1:8" x14ac:dyDescent="0.2">
      <c r="A1557" s="2" t="s">
        <v>1629</v>
      </c>
      <c r="B1557" s="2" t="s">
        <v>1604</v>
      </c>
      <c r="C1557" s="2" t="s">
        <v>118</v>
      </c>
      <c r="D1557" s="3">
        <v>3463</v>
      </c>
      <c r="E1557" s="4" t="s">
        <v>24</v>
      </c>
      <c r="F1557" s="5">
        <v>0.75</v>
      </c>
      <c r="G1557" s="4" t="s">
        <v>25</v>
      </c>
      <c r="H1557" s="6">
        <f t="shared" si="24"/>
        <v>2597.25</v>
      </c>
    </row>
    <row r="1558" spans="1:8" x14ac:dyDescent="0.2">
      <c r="A1558" s="2" t="s">
        <v>1630</v>
      </c>
      <c r="B1558" s="2" t="s">
        <v>1604</v>
      </c>
      <c r="C1558" s="2" t="s">
        <v>78</v>
      </c>
      <c r="D1558" s="3">
        <v>4384</v>
      </c>
      <c r="E1558" s="4" t="s">
        <v>38</v>
      </c>
      <c r="F1558" s="5">
        <v>2.72</v>
      </c>
      <c r="G1558" s="4" t="s">
        <v>39</v>
      </c>
      <c r="H1558" s="6">
        <f t="shared" si="24"/>
        <v>11924.480000000001</v>
      </c>
    </row>
    <row r="1559" spans="1:8" x14ac:dyDescent="0.2">
      <c r="A1559" s="2" t="s">
        <v>1631</v>
      </c>
      <c r="B1559" s="2" t="s">
        <v>1604</v>
      </c>
      <c r="C1559" s="2" t="s">
        <v>48</v>
      </c>
      <c r="D1559" s="3">
        <v>2467</v>
      </c>
      <c r="E1559" s="4" t="s">
        <v>24</v>
      </c>
      <c r="F1559" s="5">
        <v>0.09</v>
      </c>
      <c r="G1559" s="4" t="s">
        <v>25</v>
      </c>
      <c r="H1559" s="6">
        <f t="shared" si="24"/>
        <v>222.03</v>
      </c>
    </row>
    <row r="1560" spans="1:8" x14ac:dyDescent="0.2">
      <c r="A1560" s="2" t="s">
        <v>1632</v>
      </c>
      <c r="B1560" s="2" t="s">
        <v>1604</v>
      </c>
      <c r="C1560" s="2" t="s">
        <v>46</v>
      </c>
      <c r="D1560" s="3">
        <v>400</v>
      </c>
      <c r="E1560" s="4" t="s">
        <v>20</v>
      </c>
      <c r="F1560" s="5">
        <v>2.8</v>
      </c>
      <c r="G1560" s="4" t="s">
        <v>21</v>
      </c>
      <c r="H1560" s="6">
        <f t="shared" si="24"/>
        <v>1120</v>
      </c>
    </row>
    <row r="1561" spans="1:8" x14ac:dyDescent="0.2">
      <c r="A1561" s="2" t="s">
        <v>1633</v>
      </c>
      <c r="B1561" s="2" t="s">
        <v>1604</v>
      </c>
      <c r="C1561" s="2" t="s">
        <v>118</v>
      </c>
      <c r="D1561" s="3">
        <v>501</v>
      </c>
      <c r="E1561" s="4" t="s">
        <v>24</v>
      </c>
      <c r="F1561" s="5">
        <v>0.55000000000000004</v>
      </c>
      <c r="G1561" s="4" t="s">
        <v>25</v>
      </c>
      <c r="H1561" s="6">
        <f t="shared" si="24"/>
        <v>275.55</v>
      </c>
    </row>
    <row r="1562" spans="1:8" x14ac:dyDescent="0.2">
      <c r="A1562" s="2" t="s">
        <v>1634</v>
      </c>
      <c r="B1562" s="2" t="s">
        <v>1604</v>
      </c>
      <c r="C1562" s="2" t="s">
        <v>86</v>
      </c>
      <c r="D1562" s="3">
        <v>3913</v>
      </c>
      <c r="E1562" s="4" t="s">
        <v>72</v>
      </c>
      <c r="F1562" s="5">
        <v>8974.56</v>
      </c>
      <c r="G1562" s="4" t="s">
        <v>73</v>
      </c>
      <c r="H1562" s="6">
        <f t="shared" si="24"/>
        <v>35117453.280000001</v>
      </c>
    </row>
    <row r="1563" spans="1:8" x14ac:dyDescent="0.2">
      <c r="A1563" s="2" t="s">
        <v>1635</v>
      </c>
      <c r="B1563" s="2" t="s">
        <v>1604</v>
      </c>
      <c r="C1563" s="2" t="s">
        <v>50</v>
      </c>
      <c r="D1563" s="3">
        <v>3695</v>
      </c>
      <c r="E1563" s="4" t="s">
        <v>20</v>
      </c>
      <c r="F1563" s="5">
        <v>1.1499999999999999</v>
      </c>
      <c r="G1563" s="4" t="s">
        <v>21</v>
      </c>
      <c r="H1563" s="6">
        <f t="shared" si="24"/>
        <v>4249.25</v>
      </c>
    </row>
    <row r="1564" spans="1:8" x14ac:dyDescent="0.2">
      <c r="A1564" s="2" t="s">
        <v>1636</v>
      </c>
      <c r="B1564" s="2" t="s">
        <v>1604</v>
      </c>
      <c r="C1564" s="2" t="s">
        <v>86</v>
      </c>
      <c r="D1564" s="3">
        <v>2967</v>
      </c>
      <c r="E1564" s="4" t="s">
        <v>72</v>
      </c>
      <c r="F1564" s="5">
        <v>8304.43</v>
      </c>
      <c r="G1564" s="4" t="s">
        <v>73</v>
      </c>
      <c r="H1564" s="6">
        <f t="shared" si="24"/>
        <v>24639243.810000002</v>
      </c>
    </row>
    <row r="1565" spans="1:8" x14ac:dyDescent="0.2">
      <c r="A1565" s="2" t="s">
        <v>1637</v>
      </c>
      <c r="B1565" s="2" t="s">
        <v>1604</v>
      </c>
      <c r="C1565" s="2" t="s">
        <v>29</v>
      </c>
      <c r="D1565" s="3">
        <v>2121</v>
      </c>
      <c r="E1565" s="4" t="s">
        <v>30</v>
      </c>
      <c r="F1565" s="5">
        <v>1.41</v>
      </c>
      <c r="G1565" s="4" t="s">
        <v>31</v>
      </c>
      <c r="H1565" s="6">
        <f t="shared" si="24"/>
        <v>2990.6099999999997</v>
      </c>
    </row>
    <row r="1566" spans="1:8" x14ac:dyDescent="0.2">
      <c r="A1566" s="2" t="s">
        <v>1638</v>
      </c>
      <c r="B1566" s="2" t="s">
        <v>1604</v>
      </c>
      <c r="C1566" s="2" t="s">
        <v>52</v>
      </c>
      <c r="D1566" s="3">
        <v>1003</v>
      </c>
      <c r="E1566" s="4" t="s">
        <v>53</v>
      </c>
      <c r="F1566" s="5">
        <v>10.76</v>
      </c>
      <c r="G1566" s="4" t="s">
        <v>54</v>
      </c>
      <c r="H1566" s="6">
        <f t="shared" si="24"/>
        <v>10792.28</v>
      </c>
    </row>
    <row r="1567" spans="1:8" x14ac:dyDescent="0.2">
      <c r="A1567" s="2" t="s">
        <v>1639</v>
      </c>
      <c r="B1567" s="2" t="s">
        <v>1604</v>
      </c>
      <c r="C1567" s="2" t="s">
        <v>147</v>
      </c>
      <c r="D1567" s="3">
        <v>1639</v>
      </c>
      <c r="E1567" s="4" t="s">
        <v>53</v>
      </c>
      <c r="F1567" s="5">
        <v>12.61</v>
      </c>
      <c r="G1567" s="4" t="s">
        <v>54</v>
      </c>
      <c r="H1567" s="6">
        <f t="shared" si="24"/>
        <v>20667.79</v>
      </c>
    </row>
    <row r="1568" spans="1:8" x14ac:dyDescent="0.2">
      <c r="A1568" s="2" t="s">
        <v>1640</v>
      </c>
      <c r="B1568" s="2" t="s">
        <v>1604</v>
      </c>
      <c r="C1568" s="2" t="s">
        <v>29</v>
      </c>
      <c r="D1568" s="3">
        <v>1439</v>
      </c>
      <c r="E1568" s="4" t="s">
        <v>30</v>
      </c>
      <c r="F1568" s="5">
        <v>2.1800000000000002</v>
      </c>
      <c r="G1568" s="4" t="s">
        <v>31</v>
      </c>
      <c r="H1568" s="6">
        <f t="shared" si="24"/>
        <v>3137.0200000000004</v>
      </c>
    </row>
    <row r="1569" spans="1:8" x14ac:dyDescent="0.2">
      <c r="A1569" s="2" t="s">
        <v>1641</v>
      </c>
      <c r="B1569" s="2" t="s">
        <v>1604</v>
      </c>
      <c r="C1569" s="2" t="s">
        <v>71</v>
      </c>
      <c r="D1569" s="3">
        <v>2919</v>
      </c>
      <c r="E1569" s="4" t="s">
        <v>72</v>
      </c>
      <c r="F1569" s="5">
        <v>2595.0500000000002</v>
      </c>
      <c r="G1569" s="4" t="s">
        <v>73</v>
      </c>
      <c r="H1569" s="6">
        <f t="shared" si="24"/>
        <v>7574950.9500000002</v>
      </c>
    </row>
    <row r="1570" spans="1:8" x14ac:dyDescent="0.2">
      <c r="A1570" s="2" t="s">
        <v>1642</v>
      </c>
      <c r="B1570" s="2" t="s">
        <v>1604</v>
      </c>
      <c r="C1570" s="2" t="s">
        <v>78</v>
      </c>
      <c r="D1570" s="3">
        <v>4003</v>
      </c>
      <c r="E1570" s="4" t="s">
        <v>38</v>
      </c>
      <c r="F1570" s="5">
        <v>2.82</v>
      </c>
      <c r="G1570" s="4" t="s">
        <v>39</v>
      </c>
      <c r="H1570" s="6">
        <f t="shared" si="24"/>
        <v>11288.46</v>
      </c>
    </row>
    <row r="1571" spans="1:8" x14ac:dyDescent="0.2">
      <c r="A1571" s="2" t="s">
        <v>1643</v>
      </c>
      <c r="B1571" s="2" t="s">
        <v>1604</v>
      </c>
      <c r="C1571" s="2" t="s">
        <v>23</v>
      </c>
      <c r="D1571" s="3">
        <v>652</v>
      </c>
      <c r="E1571" s="4" t="s">
        <v>24</v>
      </c>
      <c r="F1571" s="5">
        <v>14.29</v>
      </c>
      <c r="G1571" s="4" t="s">
        <v>25</v>
      </c>
      <c r="H1571" s="6">
        <f t="shared" si="24"/>
        <v>9317.08</v>
      </c>
    </row>
    <row r="1572" spans="1:8" x14ac:dyDescent="0.2">
      <c r="A1572" s="2" t="s">
        <v>1644</v>
      </c>
      <c r="B1572" s="2" t="s">
        <v>1604</v>
      </c>
      <c r="C1572" s="2" t="s">
        <v>71</v>
      </c>
      <c r="D1572" s="3">
        <v>3809</v>
      </c>
      <c r="E1572" s="4" t="s">
        <v>72</v>
      </c>
      <c r="F1572" s="5">
        <v>2779.03</v>
      </c>
      <c r="G1572" s="4" t="s">
        <v>73</v>
      </c>
      <c r="H1572" s="6">
        <f t="shared" si="24"/>
        <v>10585325.270000001</v>
      </c>
    </row>
    <row r="1573" spans="1:8" x14ac:dyDescent="0.2">
      <c r="A1573" s="2" t="s">
        <v>1645</v>
      </c>
      <c r="B1573" s="2" t="s">
        <v>1604</v>
      </c>
      <c r="C1573" s="2" t="s">
        <v>89</v>
      </c>
      <c r="D1573" s="3">
        <v>1382</v>
      </c>
      <c r="E1573" s="4" t="s">
        <v>30</v>
      </c>
      <c r="F1573" s="5">
        <v>2.57</v>
      </c>
      <c r="G1573" s="4" t="s">
        <v>31</v>
      </c>
      <c r="H1573" s="6">
        <f t="shared" si="24"/>
        <v>3551.74</v>
      </c>
    </row>
    <row r="1574" spans="1:8" x14ac:dyDescent="0.2">
      <c r="A1574" s="2" t="s">
        <v>1646</v>
      </c>
      <c r="B1574" s="2" t="s">
        <v>1604</v>
      </c>
      <c r="C1574" s="2" t="s">
        <v>57</v>
      </c>
      <c r="D1574" s="3">
        <v>3465</v>
      </c>
      <c r="E1574" s="4" t="s">
        <v>20</v>
      </c>
      <c r="F1574" s="5">
        <v>0.85</v>
      </c>
      <c r="G1574" s="4" t="s">
        <v>21</v>
      </c>
      <c r="H1574" s="6">
        <f t="shared" si="24"/>
        <v>2945.25</v>
      </c>
    </row>
    <row r="1575" spans="1:8" x14ac:dyDescent="0.2">
      <c r="A1575" s="2" t="s">
        <v>1647</v>
      </c>
      <c r="B1575" s="2" t="s">
        <v>1604</v>
      </c>
      <c r="C1575" s="2" t="s">
        <v>46</v>
      </c>
      <c r="D1575" s="3">
        <v>3325</v>
      </c>
      <c r="E1575" s="4" t="s">
        <v>20</v>
      </c>
      <c r="F1575" s="5">
        <v>3.7</v>
      </c>
      <c r="G1575" s="4" t="s">
        <v>21</v>
      </c>
      <c r="H1575" s="6">
        <f t="shared" si="24"/>
        <v>12302.5</v>
      </c>
    </row>
    <row r="1576" spans="1:8" x14ac:dyDescent="0.2">
      <c r="A1576" s="2" t="s">
        <v>1648</v>
      </c>
      <c r="B1576" s="2" t="s">
        <v>1604</v>
      </c>
      <c r="C1576" s="2" t="s">
        <v>27</v>
      </c>
      <c r="D1576" s="3">
        <v>658</v>
      </c>
      <c r="E1576" s="4" t="s">
        <v>20</v>
      </c>
      <c r="F1576" s="5">
        <v>1.39</v>
      </c>
      <c r="G1576" s="4" t="s">
        <v>21</v>
      </c>
      <c r="H1576" s="6">
        <f t="shared" si="24"/>
        <v>914.61999999999989</v>
      </c>
    </row>
    <row r="1577" spans="1:8" x14ac:dyDescent="0.2">
      <c r="A1577" s="2" t="s">
        <v>1649</v>
      </c>
      <c r="B1577" s="2" t="s">
        <v>1604</v>
      </c>
      <c r="C1577" s="2" t="s">
        <v>42</v>
      </c>
      <c r="D1577" s="3">
        <v>2578</v>
      </c>
      <c r="E1577" s="4" t="s">
        <v>24</v>
      </c>
      <c r="F1577" s="5">
        <v>4.45</v>
      </c>
      <c r="G1577" s="4" t="s">
        <v>25</v>
      </c>
      <c r="H1577" s="6">
        <f t="shared" si="24"/>
        <v>11472.1</v>
      </c>
    </row>
    <row r="1578" spans="1:8" x14ac:dyDescent="0.2">
      <c r="A1578" s="2" t="s">
        <v>1650</v>
      </c>
      <c r="B1578" s="2" t="s">
        <v>1604</v>
      </c>
      <c r="C1578" s="2" t="s">
        <v>71</v>
      </c>
      <c r="D1578" s="3">
        <v>2201</v>
      </c>
      <c r="E1578" s="4" t="s">
        <v>72</v>
      </c>
      <c r="F1578" s="5">
        <v>2763.23</v>
      </c>
      <c r="G1578" s="4" t="s">
        <v>73</v>
      </c>
      <c r="H1578" s="6">
        <f t="shared" si="24"/>
        <v>6081869.2300000004</v>
      </c>
    </row>
    <row r="1579" spans="1:8" x14ac:dyDescent="0.2">
      <c r="A1579" s="2" t="s">
        <v>1651</v>
      </c>
      <c r="B1579" s="2" t="s">
        <v>1604</v>
      </c>
      <c r="C1579" s="2" t="s">
        <v>67</v>
      </c>
      <c r="D1579" s="3">
        <v>2232</v>
      </c>
      <c r="E1579" s="4" t="s">
        <v>24</v>
      </c>
      <c r="F1579" s="5">
        <v>0.56999999999999995</v>
      </c>
      <c r="G1579" s="4" t="s">
        <v>25</v>
      </c>
      <c r="H1579" s="6">
        <f t="shared" si="24"/>
        <v>1272.2399999999998</v>
      </c>
    </row>
    <row r="1580" spans="1:8" x14ac:dyDescent="0.2">
      <c r="A1580" s="2" t="s">
        <v>1652</v>
      </c>
      <c r="B1580" s="2" t="s">
        <v>1604</v>
      </c>
      <c r="C1580" s="2" t="s">
        <v>19</v>
      </c>
      <c r="D1580" s="3">
        <v>4818</v>
      </c>
      <c r="E1580" s="4" t="s">
        <v>20</v>
      </c>
      <c r="F1580" s="5">
        <v>1.41</v>
      </c>
      <c r="G1580" s="4" t="s">
        <v>21</v>
      </c>
      <c r="H1580" s="6">
        <f t="shared" si="24"/>
        <v>6793.3799999999992</v>
      </c>
    </row>
    <row r="1581" spans="1:8" x14ac:dyDescent="0.2">
      <c r="A1581" s="2" t="s">
        <v>1653</v>
      </c>
      <c r="B1581" s="2" t="s">
        <v>1604</v>
      </c>
      <c r="C1581" s="2" t="s">
        <v>23</v>
      </c>
      <c r="D1581" s="3">
        <v>3401</v>
      </c>
      <c r="E1581" s="4" t="s">
        <v>24</v>
      </c>
      <c r="F1581" s="5">
        <v>13</v>
      </c>
      <c r="G1581" s="4" t="s">
        <v>25</v>
      </c>
      <c r="H1581" s="6">
        <f t="shared" si="24"/>
        <v>44213</v>
      </c>
    </row>
    <row r="1582" spans="1:8" x14ac:dyDescent="0.2">
      <c r="A1582" s="2" t="s">
        <v>1654</v>
      </c>
      <c r="B1582" s="2" t="s">
        <v>1604</v>
      </c>
      <c r="C1582" s="2" t="s">
        <v>33</v>
      </c>
      <c r="D1582" s="3">
        <v>1034</v>
      </c>
      <c r="E1582" s="4" t="s">
        <v>34</v>
      </c>
      <c r="F1582" s="5">
        <v>5.32</v>
      </c>
      <c r="G1582" s="4" t="s">
        <v>35</v>
      </c>
      <c r="H1582" s="6">
        <f t="shared" si="24"/>
        <v>5500.88</v>
      </c>
    </row>
    <row r="1583" spans="1:8" x14ac:dyDescent="0.2">
      <c r="A1583" s="2" t="s">
        <v>1655</v>
      </c>
      <c r="B1583" s="2" t="s">
        <v>1604</v>
      </c>
      <c r="C1583" s="2" t="s">
        <v>86</v>
      </c>
      <c r="D1583" s="3">
        <v>665</v>
      </c>
      <c r="E1583" s="4" t="s">
        <v>72</v>
      </c>
      <c r="F1583" s="5">
        <v>8094.8</v>
      </c>
      <c r="G1583" s="4" t="s">
        <v>73</v>
      </c>
      <c r="H1583" s="6">
        <f t="shared" si="24"/>
        <v>5383042</v>
      </c>
    </row>
    <row r="1584" spans="1:8" x14ac:dyDescent="0.2">
      <c r="A1584" s="2" t="s">
        <v>1656</v>
      </c>
      <c r="B1584" s="2" t="s">
        <v>1604</v>
      </c>
      <c r="C1584" s="2" t="s">
        <v>67</v>
      </c>
      <c r="D1584" s="3">
        <v>853</v>
      </c>
      <c r="E1584" s="4" t="s">
        <v>24</v>
      </c>
      <c r="F1584" s="5">
        <v>0.33</v>
      </c>
      <c r="G1584" s="4" t="s">
        <v>25</v>
      </c>
      <c r="H1584" s="6">
        <f t="shared" si="24"/>
        <v>281.49</v>
      </c>
    </row>
    <row r="1585" spans="1:8" x14ac:dyDescent="0.2">
      <c r="A1585" s="2" t="s">
        <v>1657</v>
      </c>
      <c r="B1585" s="2" t="s">
        <v>1604</v>
      </c>
      <c r="C1585" s="2" t="s">
        <v>48</v>
      </c>
      <c r="D1585" s="3">
        <v>4502</v>
      </c>
      <c r="E1585" s="4" t="s">
        <v>24</v>
      </c>
      <c r="F1585" s="5">
        <v>0.06</v>
      </c>
      <c r="G1585" s="4" t="s">
        <v>25</v>
      </c>
      <c r="H1585" s="6">
        <f t="shared" si="24"/>
        <v>270.12</v>
      </c>
    </row>
    <row r="1586" spans="1:8" x14ac:dyDescent="0.2">
      <c r="A1586" s="2" t="s">
        <v>1658</v>
      </c>
      <c r="B1586" s="2" t="s">
        <v>1604</v>
      </c>
      <c r="C1586" s="2" t="s">
        <v>67</v>
      </c>
      <c r="D1586" s="3">
        <v>4302</v>
      </c>
      <c r="E1586" s="4" t="s">
        <v>24</v>
      </c>
      <c r="F1586" s="5">
        <v>0.53</v>
      </c>
      <c r="G1586" s="4" t="s">
        <v>25</v>
      </c>
      <c r="H1586" s="6">
        <f t="shared" si="24"/>
        <v>2280.06</v>
      </c>
    </row>
    <row r="1587" spans="1:8" x14ac:dyDescent="0.2">
      <c r="A1587" s="2" t="s">
        <v>1659</v>
      </c>
      <c r="B1587" s="2" t="s">
        <v>1604</v>
      </c>
      <c r="C1587" s="2" t="s">
        <v>27</v>
      </c>
      <c r="D1587" s="3">
        <v>861</v>
      </c>
      <c r="E1587" s="4" t="s">
        <v>20</v>
      </c>
      <c r="F1587" s="5">
        <v>1.51</v>
      </c>
      <c r="G1587" s="4" t="s">
        <v>21</v>
      </c>
      <c r="H1587" s="6">
        <f t="shared" si="24"/>
        <v>1300.1099999999999</v>
      </c>
    </row>
    <row r="1588" spans="1:8" x14ac:dyDescent="0.2">
      <c r="A1588" s="2" t="s">
        <v>1660</v>
      </c>
      <c r="B1588" s="2" t="s">
        <v>1604</v>
      </c>
      <c r="C1588" s="2" t="s">
        <v>89</v>
      </c>
      <c r="D1588" s="3">
        <v>700</v>
      </c>
      <c r="E1588" s="4" t="s">
        <v>30</v>
      </c>
      <c r="F1588" s="5">
        <v>2.59</v>
      </c>
      <c r="G1588" s="4" t="s">
        <v>31</v>
      </c>
      <c r="H1588" s="6">
        <f t="shared" si="24"/>
        <v>1813</v>
      </c>
    </row>
    <row r="1589" spans="1:8" x14ac:dyDescent="0.2">
      <c r="A1589" s="2" t="s">
        <v>1661</v>
      </c>
      <c r="B1589" s="2" t="s">
        <v>1604</v>
      </c>
      <c r="C1589" s="2" t="s">
        <v>67</v>
      </c>
      <c r="D1589" s="3">
        <v>2544</v>
      </c>
      <c r="E1589" s="4" t="s">
        <v>24</v>
      </c>
      <c r="F1589" s="5">
        <v>0.37</v>
      </c>
      <c r="G1589" s="4" t="s">
        <v>25</v>
      </c>
      <c r="H1589" s="6">
        <f t="shared" si="24"/>
        <v>941.28</v>
      </c>
    </row>
    <row r="1590" spans="1:8" x14ac:dyDescent="0.2">
      <c r="A1590" s="2" t="s">
        <v>1662</v>
      </c>
      <c r="B1590" s="2" t="s">
        <v>1604</v>
      </c>
      <c r="C1590" s="2" t="s">
        <v>71</v>
      </c>
      <c r="D1590" s="3">
        <v>3640</v>
      </c>
      <c r="E1590" s="4" t="s">
        <v>72</v>
      </c>
      <c r="F1590" s="5">
        <v>2775.89</v>
      </c>
      <c r="G1590" s="4" t="s">
        <v>73</v>
      </c>
      <c r="H1590" s="6">
        <f t="shared" si="24"/>
        <v>10104239.6</v>
      </c>
    </row>
    <row r="1591" spans="1:8" x14ac:dyDescent="0.2">
      <c r="A1591" s="2" t="s">
        <v>1663</v>
      </c>
      <c r="B1591" s="2" t="s">
        <v>1604</v>
      </c>
      <c r="C1591" s="2" t="s">
        <v>89</v>
      </c>
      <c r="D1591" s="3">
        <v>4325</v>
      </c>
      <c r="E1591" s="4" t="s">
        <v>30</v>
      </c>
      <c r="F1591" s="5">
        <v>2.81</v>
      </c>
      <c r="G1591" s="4" t="s">
        <v>31</v>
      </c>
      <c r="H1591" s="6">
        <f t="shared" si="24"/>
        <v>12153.25</v>
      </c>
    </row>
    <row r="1592" spans="1:8" x14ac:dyDescent="0.2">
      <c r="A1592" s="2" t="s">
        <v>1664</v>
      </c>
      <c r="B1592" s="2" t="s">
        <v>1604</v>
      </c>
      <c r="C1592" s="2" t="s">
        <v>33</v>
      </c>
      <c r="D1592" s="3">
        <v>297</v>
      </c>
      <c r="E1592" s="4" t="s">
        <v>34</v>
      </c>
      <c r="F1592" s="5">
        <v>5.16</v>
      </c>
      <c r="G1592" s="4" t="s">
        <v>35</v>
      </c>
      <c r="H1592" s="6">
        <f t="shared" si="24"/>
        <v>1532.52</v>
      </c>
    </row>
    <row r="1593" spans="1:8" x14ac:dyDescent="0.2">
      <c r="A1593" s="2" t="s">
        <v>1665</v>
      </c>
      <c r="B1593" s="2" t="s">
        <v>1604</v>
      </c>
      <c r="C1593" s="2" t="s">
        <v>57</v>
      </c>
      <c r="D1593" s="3">
        <v>3910</v>
      </c>
      <c r="E1593" s="4" t="s">
        <v>20</v>
      </c>
      <c r="F1593" s="5">
        <v>0.79</v>
      </c>
      <c r="G1593" s="4" t="s">
        <v>21</v>
      </c>
      <c r="H1593" s="6">
        <f t="shared" si="24"/>
        <v>3088.9</v>
      </c>
    </row>
    <row r="1594" spans="1:8" x14ac:dyDescent="0.2">
      <c r="A1594" s="2" t="s">
        <v>1666</v>
      </c>
      <c r="B1594" s="2" t="s">
        <v>1604</v>
      </c>
      <c r="C1594" s="2" t="s">
        <v>29</v>
      </c>
      <c r="D1594" s="3">
        <v>2241</v>
      </c>
      <c r="E1594" s="4" t="s">
        <v>30</v>
      </c>
      <c r="F1594" s="5">
        <v>1.66</v>
      </c>
      <c r="G1594" s="4" t="s">
        <v>31</v>
      </c>
      <c r="H1594" s="6">
        <f t="shared" si="24"/>
        <v>3720.06</v>
      </c>
    </row>
    <row r="1595" spans="1:8" x14ac:dyDescent="0.2">
      <c r="A1595" s="2" t="s">
        <v>1667</v>
      </c>
      <c r="B1595" s="2" t="s">
        <v>1604</v>
      </c>
      <c r="C1595" s="2" t="s">
        <v>89</v>
      </c>
      <c r="D1595" s="3">
        <v>4427</v>
      </c>
      <c r="E1595" s="4" t="s">
        <v>30</v>
      </c>
      <c r="F1595" s="5">
        <v>2.0099999999999998</v>
      </c>
      <c r="G1595" s="4" t="s">
        <v>31</v>
      </c>
      <c r="H1595" s="6">
        <f t="shared" si="24"/>
        <v>8898.2699999999986</v>
      </c>
    </row>
    <row r="1596" spans="1:8" x14ac:dyDescent="0.2">
      <c r="A1596" s="2" t="s">
        <v>1668</v>
      </c>
      <c r="B1596" s="2" t="s">
        <v>1604</v>
      </c>
      <c r="C1596" s="2" t="s">
        <v>147</v>
      </c>
      <c r="D1596" s="3">
        <v>3750</v>
      </c>
      <c r="E1596" s="4" t="s">
        <v>53</v>
      </c>
      <c r="F1596" s="5">
        <v>13.05</v>
      </c>
      <c r="G1596" s="4" t="s">
        <v>54</v>
      </c>
      <c r="H1596" s="6">
        <f t="shared" si="24"/>
        <v>48937.5</v>
      </c>
    </row>
    <row r="1597" spans="1:8" x14ac:dyDescent="0.2">
      <c r="A1597" s="2" t="s">
        <v>1669</v>
      </c>
      <c r="B1597" s="2" t="s">
        <v>1604</v>
      </c>
      <c r="C1597" s="2" t="s">
        <v>46</v>
      </c>
      <c r="D1597" s="3">
        <v>3573</v>
      </c>
      <c r="E1597" s="4" t="s">
        <v>20</v>
      </c>
      <c r="F1597" s="5">
        <v>3.05</v>
      </c>
      <c r="G1597" s="4" t="s">
        <v>21</v>
      </c>
      <c r="H1597" s="6">
        <f t="shared" si="24"/>
        <v>10897.65</v>
      </c>
    </row>
    <row r="1598" spans="1:8" x14ac:dyDescent="0.2">
      <c r="A1598" s="2" t="s">
        <v>1670</v>
      </c>
      <c r="B1598" s="2" t="s">
        <v>1604</v>
      </c>
      <c r="C1598" s="2" t="s">
        <v>29</v>
      </c>
      <c r="D1598" s="3">
        <v>2546</v>
      </c>
      <c r="E1598" s="4" t="s">
        <v>30</v>
      </c>
      <c r="F1598" s="5">
        <v>2.09</v>
      </c>
      <c r="G1598" s="4" t="s">
        <v>31</v>
      </c>
      <c r="H1598" s="6">
        <f t="shared" si="24"/>
        <v>5321.1399999999994</v>
      </c>
    </row>
    <row r="1599" spans="1:8" x14ac:dyDescent="0.2">
      <c r="A1599" s="2" t="s">
        <v>1671</v>
      </c>
      <c r="B1599" s="2" t="s">
        <v>1604</v>
      </c>
      <c r="C1599" s="2" t="s">
        <v>48</v>
      </c>
      <c r="D1599" s="3">
        <v>4430</v>
      </c>
      <c r="E1599" s="4" t="s">
        <v>24</v>
      </c>
      <c r="F1599" s="5">
        <v>0.08</v>
      </c>
      <c r="G1599" s="4" t="s">
        <v>25</v>
      </c>
      <c r="H1599" s="6">
        <f t="shared" si="24"/>
        <v>354.40000000000003</v>
      </c>
    </row>
    <row r="1600" spans="1:8" x14ac:dyDescent="0.2">
      <c r="A1600" s="2" t="s">
        <v>1672</v>
      </c>
      <c r="B1600" s="2" t="s">
        <v>1604</v>
      </c>
      <c r="C1600" s="2" t="s">
        <v>27</v>
      </c>
      <c r="D1600" s="3">
        <v>3629</v>
      </c>
      <c r="E1600" s="4" t="s">
        <v>20</v>
      </c>
      <c r="F1600" s="5">
        <v>1.57</v>
      </c>
      <c r="G1600" s="4" t="s">
        <v>21</v>
      </c>
      <c r="H1600" s="6">
        <f t="shared" si="24"/>
        <v>5697.5300000000007</v>
      </c>
    </row>
    <row r="1601" spans="1:8" x14ac:dyDescent="0.2">
      <c r="A1601" s="2" t="s">
        <v>1673</v>
      </c>
      <c r="B1601" s="2" t="s">
        <v>1604</v>
      </c>
      <c r="C1601" s="2" t="s">
        <v>52</v>
      </c>
      <c r="D1601" s="3">
        <v>2138</v>
      </c>
      <c r="E1601" s="4" t="s">
        <v>53</v>
      </c>
      <c r="F1601" s="5">
        <v>9.7799999999999994</v>
      </c>
      <c r="G1601" s="4" t="s">
        <v>54</v>
      </c>
      <c r="H1601" s="6">
        <f t="shared" si="24"/>
        <v>20909.64</v>
      </c>
    </row>
    <row r="1602" spans="1:8" x14ac:dyDescent="0.2">
      <c r="A1602" s="2" t="s">
        <v>1674</v>
      </c>
      <c r="B1602" s="2" t="s">
        <v>1604</v>
      </c>
      <c r="C1602" s="2" t="s">
        <v>33</v>
      </c>
      <c r="D1602" s="3">
        <v>10</v>
      </c>
      <c r="E1602" s="4" t="s">
        <v>34</v>
      </c>
      <c r="F1602" s="5">
        <v>4.8099999999999996</v>
      </c>
      <c r="G1602" s="4" t="s">
        <v>35</v>
      </c>
      <c r="H1602" s="6">
        <f t="shared" ref="H1602:H1665" si="25">D1602*F1602</f>
        <v>48.099999999999994</v>
      </c>
    </row>
    <row r="1603" spans="1:8" x14ac:dyDescent="0.2">
      <c r="A1603" s="2" t="s">
        <v>1675</v>
      </c>
      <c r="B1603" s="2" t="s">
        <v>1604</v>
      </c>
      <c r="C1603" s="2" t="s">
        <v>89</v>
      </c>
      <c r="D1603" s="3">
        <v>2827</v>
      </c>
      <c r="E1603" s="4" t="s">
        <v>30</v>
      </c>
      <c r="F1603" s="5">
        <v>2.14</v>
      </c>
      <c r="G1603" s="4" t="s">
        <v>31</v>
      </c>
      <c r="H1603" s="6">
        <f t="shared" si="25"/>
        <v>6049.7800000000007</v>
      </c>
    </row>
    <row r="1604" spans="1:8" x14ac:dyDescent="0.2">
      <c r="A1604" s="2" t="s">
        <v>1676</v>
      </c>
      <c r="B1604" s="2" t="s">
        <v>1604</v>
      </c>
      <c r="C1604" s="2" t="s">
        <v>29</v>
      </c>
      <c r="D1604" s="3">
        <v>78</v>
      </c>
      <c r="E1604" s="4" t="s">
        <v>30</v>
      </c>
      <c r="F1604" s="5">
        <v>1.83</v>
      </c>
      <c r="G1604" s="4" t="s">
        <v>31</v>
      </c>
      <c r="H1604" s="6">
        <f t="shared" si="25"/>
        <v>142.74</v>
      </c>
    </row>
    <row r="1605" spans="1:8" x14ac:dyDescent="0.2">
      <c r="A1605" s="2" t="s">
        <v>1677</v>
      </c>
      <c r="B1605" s="2" t="s">
        <v>1604</v>
      </c>
      <c r="C1605" s="2" t="s">
        <v>48</v>
      </c>
      <c r="D1605" s="3">
        <v>3918</v>
      </c>
      <c r="E1605" s="4" t="s">
        <v>24</v>
      </c>
      <c r="F1605" s="5">
        <v>0.09</v>
      </c>
      <c r="G1605" s="4" t="s">
        <v>25</v>
      </c>
      <c r="H1605" s="6">
        <f t="shared" si="25"/>
        <v>352.62</v>
      </c>
    </row>
    <row r="1606" spans="1:8" x14ac:dyDescent="0.2">
      <c r="A1606" s="2" t="s">
        <v>1678</v>
      </c>
      <c r="B1606" s="2" t="s">
        <v>1679</v>
      </c>
      <c r="C1606" s="2" t="s">
        <v>52</v>
      </c>
      <c r="D1606" s="3">
        <v>2409</v>
      </c>
      <c r="E1606" s="4" t="s">
        <v>53</v>
      </c>
      <c r="F1606" s="5">
        <v>11.99</v>
      </c>
      <c r="G1606" s="4" t="s">
        <v>54</v>
      </c>
      <c r="H1606" s="6">
        <f t="shared" si="25"/>
        <v>28883.91</v>
      </c>
    </row>
    <row r="1607" spans="1:8" x14ac:dyDescent="0.2">
      <c r="A1607" s="2" t="s">
        <v>1680</v>
      </c>
      <c r="B1607" s="2" t="s">
        <v>1679</v>
      </c>
      <c r="C1607" s="2" t="s">
        <v>33</v>
      </c>
      <c r="D1607" s="3">
        <v>4500</v>
      </c>
      <c r="E1607" s="4" t="s">
        <v>34</v>
      </c>
      <c r="F1607" s="5">
        <v>4.43</v>
      </c>
      <c r="G1607" s="4" t="s">
        <v>35</v>
      </c>
      <c r="H1607" s="6">
        <f t="shared" si="25"/>
        <v>19935</v>
      </c>
    </row>
    <row r="1608" spans="1:8" x14ac:dyDescent="0.2">
      <c r="A1608" s="2" t="s">
        <v>1681</v>
      </c>
      <c r="B1608" s="2" t="s">
        <v>1679</v>
      </c>
      <c r="C1608" s="2" t="s">
        <v>52</v>
      </c>
      <c r="D1608" s="3">
        <v>4602</v>
      </c>
      <c r="E1608" s="4" t="s">
        <v>53</v>
      </c>
      <c r="F1608" s="5">
        <v>11.19</v>
      </c>
      <c r="G1608" s="4" t="s">
        <v>54</v>
      </c>
      <c r="H1608" s="6">
        <f t="shared" si="25"/>
        <v>51496.38</v>
      </c>
    </row>
    <row r="1609" spans="1:8" x14ac:dyDescent="0.2">
      <c r="A1609" s="2" t="s">
        <v>1682</v>
      </c>
      <c r="B1609" s="2" t="s">
        <v>1679</v>
      </c>
      <c r="C1609" s="2" t="s">
        <v>42</v>
      </c>
      <c r="D1609" s="3">
        <v>1347</v>
      </c>
      <c r="E1609" s="4" t="s">
        <v>24</v>
      </c>
      <c r="F1609" s="5">
        <v>5.64</v>
      </c>
      <c r="G1609" s="4" t="s">
        <v>25</v>
      </c>
      <c r="H1609" s="6">
        <f t="shared" si="25"/>
        <v>7597.08</v>
      </c>
    </row>
    <row r="1610" spans="1:8" x14ac:dyDescent="0.2">
      <c r="A1610" s="2" t="s">
        <v>1683</v>
      </c>
      <c r="B1610" s="2" t="s">
        <v>1679</v>
      </c>
      <c r="C1610" s="2" t="s">
        <v>67</v>
      </c>
      <c r="D1610" s="3">
        <v>3109</v>
      </c>
      <c r="E1610" s="4" t="s">
        <v>24</v>
      </c>
      <c r="F1610" s="5">
        <v>0.37</v>
      </c>
      <c r="G1610" s="4" t="s">
        <v>25</v>
      </c>
      <c r="H1610" s="6">
        <f t="shared" si="25"/>
        <v>1150.33</v>
      </c>
    </row>
    <row r="1611" spans="1:8" x14ac:dyDescent="0.2">
      <c r="A1611" s="2" t="s">
        <v>1684</v>
      </c>
      <c r="B1611" s="2" t="s">
        <v>1679</v>
      </c>
      <c r="C1611" s="2" t="s">
        <v>27</v>
      </c>
      <c r="D1611" s="3">
        <v>3468</v>
      </c>
      <c r="E1611" s="4" t="s">
        <v>20</v>
      </c>
      <c r="F1611" s="5">
        <v>1.95</v>
      </c>
      <c r="G1611" s="4" t="s">
        <v>21</v>
      </c>
      <c r="H1611" s="6">
        <f t="shared" si="25"/>
        <v>6762.5999999999995</v>
      </c>
    </row>
    <row r="1612" spans="1:8" x14ac:dyDescent="0.2">
      <c r="A1612" s="2" t="s">
        <v>1685</v>
      </c>
      <c r="B1612" s="2" t="s">
        <v>1679</v>
      </c>
      <c r="C1612" s="2" t="s">
        <v>78</v>
      </c>
      <c r="D1612" s="3">
        <v>2237</v>
      </c>
      <c r="E1612" s="4" t="s">
        <v>38</v>
      </c>
      <c r="F1612" s="5">
        <v>1.98</v>
      </c>
      <c r="G1612" s="4" t="s">
        <v>39</v>
      </c>
      <c r="H1612" s="6">
        <f t="shared" si="25"/>
        <v>4429.26</v>
      </c>
    </row>
    <row r="1613" spans="1:8" x14ac:dyDescent="0.2">
      <c r="A1613" s="2" t="s">
        <v>1686</v>
      </c>
      <c r="B1613" s="2" t="s">
        <v>1679</v>
      </c>
      <c r="C1613" s="2" t="s">
        <v>29</v>
      </c>
      <c r="D1613" s="3">
        <v>2212</v>
      </c>
      <c r="E1613" s="4" t="s">
        <v>30</v>
      </c>
      <c r="F1613" s="5">
        <v>1.5</v>
      </c>
      <c r="G1613" s="4" t="s">
        <v>31</v>
      </c>
      <c r="H1613" s="6">
        <f t="shared" si="25"/>
        <v>3318</v>
      </c>
    </row>
    <row r="1614" spans="1:8" x14ac:dyDescent="0.2">
      <c r="A1614" s="2" t="s">
        <v>1687</v>
      </c>
      <c r="B1614" s="2" t="s">
        <v>1679</v>
      </c>
      <c r="C1614" s="2" t="s">
        <v>27</v>
      </c>
      <c r="D1614" s="3">
        <v>1504</v>
      </c>
      <c r="E1614" s="4" t="s">
        <v>20</v>
      </c>
      <c r="F1614" s="5">
        <v>1.36</v>
      </c>
      <c r="G1614" s="4" t="s">
        <v>21</v>
      </c>
      <c r="H1614" s="6">
        <f t="shared" si="25"/>
        <v>2045.44</v>
      </c>
    </row>
    <row r="1615" spans="1:8" x14ac:dyDescent="0.2">
      <c r="A1615" s="2" t="s">
        <v>1688</v>
      </c>
      <c r="B1615" s="2" t="s">
        <v>1679</v>
      </c>
      <c r="C1615" s="2" t="s">
        <v>50</v>
      </c>
      <c r="D1615" s="3">
        <v>3740</v>
      </c>
      <c r="E1615" s="4" t="s">
        <v>20</v>
      </c>
      <c r="F1615" s="5">
        <v>1.07</v>
      </c>
      <c r="G1615" s="4" t="s">
        <v>21</v>
      </c>
      <c r="H1615" s="6">
        <f t="shared" si="25"/>
        <v>4001.8</v>
      </c>
    </row>
    <row r="1616" spans="1:8" x14ac:dyDescent="0.2">
      <c r="A1616" s="2" t="s">
        <v>1689</v>
      </c>
      <c r="B1616" s="2" t="s">
        <v>1679</v>
      </c>
      <c r="C1616" s="2" t="s">
        <v>86</v>
      </c>
      <c r="D1616" s="3">
        <v>4040</v>
      </c>
      <c r="E1616" s="4" t="s">
        <v>72</v>
      </c>
      <c r="F1616" s="5">
        <v>8062.91</v>
      </c>
      <c r="G1616" s="4" t="s">
        <v>73</v>
      </c>
      <c r="H1616" s="6">
        <f t="shared" si="25"/>
        <v>32574156.399999999</v>
      </c>
    </row>
    <row r="1617" spans="1:8" x14ac:dyDescent="0.2">
      <c r="A1617" s="2" t="s">
        <v>1690</v>
      </c>
      <c r="B1617" s="2" t="s">
        <v>1679</v>
      </c>
      <c r="C1617" s="2" t="s">
        <v>33</v>
      </c>
      <c r="D1617" s="3">
        <v>1256</v>
      </c>
      <c r="E1617" s="4" t="s">
        <v>34</v>
      </c>
      <c r="F1617" s="5">
        <v>3.62</v>
      </c>
      <c r="G1617" s="4" t="s">
        <v>35</v>
      </c>
      <c r="H1617" s="6">
        <f t="shared" si="25"/>
        <v>4546.72</v>
      </c>
    </row>
    <row r="1618" spans="1:8" x14ac:dyDescent="0.2">
      <c r="A1618" s="2" t="s">
        <v>1691</v>
      </c>
      <c r="B1618" s="2" t="s">
        <v>1679</v>
      </c>
      <c r="C1618" s="2" t="s">
        <v>29</v>
      </c>
      <c r="D1618" s="3">
        <v>191</v>
      </c>
      <c r="E1618" s="4" t="s">
        <v>30</v>
      </c>
      <c r="F1618" s="5">
        <v>1.22</v>
      </c>
      <c r="G1618" s="4" t="s">
        <v>31</v>
      </c>
      <c r="H1618" s="6">
        <f t="shared" si="25"/>
        <v>233.01999999999998</v>
      </c>
    </row>
    <row r="1619" spans="1:8" x14ac:dyDescent="0.2">
      <c r="A1619" s="2" t="s">
        <v>1692</v>
      </c>
      <c r="B1619" s="2" t="s">
        <v>1679</v>
      </c>
      <c r="C1619" s="2" t="s">
        <v>50</v>
      </c>
      <c r="D1619" s="3">
        <v>2321</v>
      </c>
      <c r="E1619" s="4" t="s">
        <v>20</v>
      </c>
      <c r="F1619" s="5">
        <v>0.86</v>
      </c>
      <c r="G1619" s="4" t="s">
        <v>21</v>
      </c>
      <c r="H1619" s="6">
        <f t="shared" si="25"/>
        <v>1996.06</v>
      </c>
    </row>
    <row r="1620" spans="1:8" x14ac:dyDescent="0.2">
      <c r="A1620" s="2" t="s">
        <v>1693</v>
      </c>
      <c r="B1620" s="2" t="s">
        <v>1679</v>
      </c>
      <c r="C1620" s="2" t="s">
        <v>23</v>
      </c>
      <c r="D1620" s="3">
        <v>77</v>
      </c>
      <c r="E1620" s="4" t="s">
        <v>24</v>
      </c>
      <c r="F1620" s="5">
        <v>13.4</v>
      </c>
      <c r="G1620" s="4" t="s">
        <v>25</v>
      </c>
      <c r="H1620" s="6">
        <f t="shared" si="25"/>
        <v>1031.8</v>
      </c>
    </row>
    <row r="1621" spans="1:8" x14ac:dyDescent="0.2">
      <c r="A1621" s="2" t="s">
        <v>1694</v>
      </c>
      <c r="B1621" s="2" t="s">
        <v>1679</v>
      </c>
      <c r="C1621" s="2" t="s">
        <v>89</v>
      </c>
      <c r="D1621" s="3">
        <v>130</v>
      </c>
      <c r="E1621" s="4" t="s">
        <v>30</v>
      </c>
      <c r="F1621" s="5">
        <v>2.39</v>
      </c>
      <c r="G1621" s="4" t="s">
        <v>31</v>
      </c>
      <c r="H1621" s="6">
        <f t="shared" si="25"/>
        <v>310.7</v>
      </c>
    </row>
    <row r="1622" spans="1:8" x14ac:dyDescent="0.2">
      <c r="A1622" s="2" t="s">
        <v>1695</v>
      </c>
      <c r="B1622" s="2" t="s">
        <v>1679</v>
      </c>
      <c r="C1622" s="2" t="s">
        <v>57</v>
      </c>
      <c r="D1622" s="3">
        <v>3452</v>
      </c>
      <c r="E1622" s="4" t="s">
        <v>20</v>
      </c>
      <c r="F1622" s="5">
        <v>0.72</v>
      </c>
      <c r="G1622" s="4" t="s">
        <v>21</v>
      </c>
      <c r="H1622" s="6">
        <f t="shared" si="25"/>
        <v>2485.44</v>
      </c>
    </row>
    <row r="1623" spans="1:8" x14ac:dyDescent="0.2">
      <c r="A1623" s="2" t="s">
        <v>1696</v>
      </c>
      <c r="B1623" s="2" t="s">
        <v>1679</v>
      </c>
      <c r="C1623" s="2" t="s">
        <v>48</v>
      </c>
      <c r="D1623" s="3">
        <v>3052</v>
      </c>
      <c r="E1623" s="4" t="s">
        <v>24</v>
      </c>
      <c r="F1623" s="5">
        <v>0.12</v>
      </c>
      <c r="G1623" s="4" t="s">
        <v>25</v>
      </c>
      <c r="H1623" s="6">
        <f t="shared" si="25"/>
        <v>366.24</v>
      </c>
    </row>
    <row r="1624" spans="1:8" x14ac:dyDescent="0.2">
      <c r="A1624" s="2" t="s">
        <v>1697</v>
      </c>
      <c r="B1624" s="2" t="s">
        <v>1679</v>
      </c>
      <c r="C1624" s="2" t="s">
        <v>37</v>
      </c>
      <c r="D1624" s="3">
        <v>2715</v>
      </c>
      <c r="E1624" s="4" t="s">
        <v>38</v>
      </c>
      <c r="F1624" s="5">
        <v>2.2400000000000002</v>
      </c>
      <c r="G1624" s="4" t="s">
        <v>39</v>
      </c>
      <c r="H1624" s="6">
        <f t="shared" si="25"/>
        <v>6081.6</v>
      </c>
    </row>
    <row r="1625" spans="1:8" x14ac:dyDescent="0.2">
      <c r="A1625" s="2" t="s">
        <v>1698</v>
      </c>
      <c r="B1625" s="2" t="s">
        <v>1679</v>
      </c>
      <c r="C1625" s="2" t="s">
        <v>89</v>
      </c>
      <c r="D1625" s="3">
        <v>469</v>
      </c>
      <c r="E1625" s="4" t="s">
        <v>30</v>
      </c>
      <c r="F1625" s="5">
        <v>2.12</v>
      </c>
      <c r="G1625" s="4" t="s">
        <v>31</v>
      </c>
      <c r="H1625" s="6">
        <f t="shared" si="25"/>
        <v>994.28000000000009</v>
      </c>
    </row>
    <row r="1626" spans="1:8" x14ac:dyDescent="0.2">
      <c r="A1626" s="2" t="s">
        <v>1699</v>
      </c>
      <c r="B1626" s="2" t="s">
        <v>1679</v>
      </c>
      <c r="C1626" s="2" t="s">
        <v>67</v>
      </c>
      <c r="D1626" s="3">
        <v>594</v>
      </c>
      <c r="E1626" s="4" t="s">
        <v>24</v>
      </c>
      <c r="F1626" s="5">
        <v>0.46</v>
      </c>
      <c r="G1626" s="4" t="s">
        <v>25</v>
      </c>
      <c r="H1626" s="6">
        <f t="shared" si="25"/>
        <v>273.24</v>
      </c>
    </row>
    <row r="1627" spans="1:8" x14ac:dyDescent="0.2">
      <c r="A1627" s="2" t="s">
        <v>1700</v>
      </c>
      <c r="B1627" s="2" t="s">
        <v>1679</v>
      </c>
      <c r="C1627" s="2" t="s">
        <v>118</v>
      </c>
      <c r="D1627" s="3">
        <v>1584</v>
      </c>
      <c r="E1627" s="4" t="s">
        <v>24</v>
      </c>
      <c r="F1627" s="5">
        <v>1.03</v>
      </c>
      <c r="G1627" s="4" t="s">
        <v>25</v>
      </c>
      <c r="H1627" s="6">
        <f t="shared" si="25"/>
        <v>1631.52</v>
      </c>
    </row>
    <row r="1628" spans="1:8" x14ac:dyDescent="0.2">
      <c r="A1628" s="2" t="s">
        <v>1701</v>
      </c>
      <c r="B1628" s="2" t="s">
        <v>1679</v>
      </c>
      <c r="C1628" s="2" t="s">
        <v>86</v>
      </c>
      <c r="D1628" s="3">
        <v>3135</v>
      </c>
      <c r="E1628" s="4" t="s">
        <v>72</v>
      </c>
      <c r="F1628" s="5">
        <v>8959.5499999999993</v>
      </c>
      <c r="G1628" s="4" t="s">
        <v>73</v>
      </c>
      <c r="H1628" s="6">
        <f t="shared" si="25"/>
        <v>28088189.249999996</v>
      </c>
    </row>
    <row r="1629" spans="1:8" x14ac:dyDescent="0.2">
      <c r="A1629" s="2" t="s">
        <v>1702</v>
      </c>
      <c r="B1629" s="2" t="s">
        <v>1679</v>
      </c>
      <c r="C1629" s="2" t="s">
        <v>50</v>
      </c>
      <c r="D1629" s="3">
        <v>2049</v>
      </c>
      <c r="E1629" s="4" t="s">
        <v>20</v>
      </c>
      <c r="F1629" s="5">
        <v>0.93</v>
      </c>
      <c r="G1629" s="4" t="s">
        <v>21</v>
      </c>
      <c r="H1629" s="6">
        <f t="shared" si="25"/>
        <v>1905.5700000000002</v>
      </c>
    </row>
    <row r="1630" spans="1:8" x14ac:dyDescent="0.2">
      <c r="A1630" s="2" t="s">
        <v>1703</v>
      </c>
      <c r="B1630" s="2" t="s">
        <v>1679</v>
      </c>
      <c r="C1630" s="2" t="s">
        <v>23</v>
      </c>
      <c r="D1630" s="3">
        <v>2034</v>
      </c>
      <c r="E1630" s="4" t="s">
        <v>24</v>
      </c>
      <c r="F1630" s="5">
        <v>16.43</v>
      </c>
      <c r="G1630" s="4" t="s">
        <v>25</v>
      </c>
      <c r="H1630" s="6">
        <f t="shared" si="25"/>
        <v>33418.620000000003</v>
      </c>
    </row>
    <row r="1631" spans="1:8" x14ac:dyDescent="0.2">
      <c r="A1631" s="2" t="s">
        <v>1704</v>
      </c>
      <c r="B1631" s="2" t="s">
        <v>1679</v>
      </c>
      <c r="C1631" s="2" t="s">
        <v>37</v>
      </c>
      <c r="D1631" s="3">
        <v>1641</v>
      </c>
      <c r="E1631" s="4" t="s">
        <v>38</v>
      </c>
      <c r="F1631" s="5">
        <v>3.38</v>
      </c>
      <c r="G1631" s="4" t="s">
        <v>39</v>
      </c>
      <c r="H1631" s="6">
        <f t="shared" si="25"/>
        <v>5546.58</v>
      </c>
    </row>
    <row r="1632" spans="1:8" x14ac:dyDescent="0.2">
      <c r="A1632" s="2" t="s">
        <v>1705</v>
      </c>
      <c r="B1632" s="2" t="s">
        <v>1679</v>
      </c>
      <c r="C1632" s="2" t="s">
        <v>50</v>
      </c>
      <c r="D1632" s="3">
        <v>4279</v>
      </c>
      <c r="E1632" s="4" t="s">
        <v>20</v>
      </c>
      <c r="F1632" s="5">
        <v>1.1000000000000001</v>
      </c>
      <c r="G1632" s="4" t="s">
        <v>21</v>
      </c>
      <c r="H1632" s="6">
        <f t="shared" si="25"/>
        <v>4706.9000000000005</v>
      </c>
    </row>
    <row r="1633" spans="1:8" x14ac:dyDescent="0.2">
      <c r="A1633" s="2" t="s">
        <v>1706</v>
      </c>
      <c r="B1633" s="2" t="s">
        <v>1679</v>
      </c>
      <c r="C1633" s="2" t="s">
        <v>44</v>
      </c>
      <c r="D1633" s="3">
        <v>3883</v>
      </c>
      <c r="E1633" s="4" t="s">
        <v>24</v>
      </c>
      <c r="F1633" s="5">
        <v>1.17</v>
      </c>
      <c r="G1633" s="4" t="s">
        <v>25</v>
      </c>
      <c r="H1633" s="6">
        <f t="shared" si="25"/>
        <v>4543.1099999999997</v>
      </c>
    </row>
    <row r="1634" spans="1:8" x14ac:dyDescent="0.2">
      <c r="A1634" s="2" t="s">
        <v>1707</v>
      </c>
      <c r="B1634" s="2" t="s">
        <v>1679</v>
      </c>
      <c r="C1634" s="2" t="s">
        <v>71</v>
      </c>
      <c r="D1634" s="3">
        <v>2656</v>
      </c>
      <c r="E1634" s="4" t="s">
        <v>72</v>
      </c>
      <c r="F1634" s="5">
        <v>2495.17</v>
      </c>
      <c r="G1634" s="4" t="s">
        <v>73</v>
      </c>
      <c r="H1634" s="6">
        <f t="shared" si="25"/>
        <v>6627171.5200000005</v>
      </c>
    </row>
    <row r="1635" spans="1:8" x14ac:dyDescent="0.2">
      <c r="A1635" s="2" t="s">
        <v>1708</v>
      </c>
      <c r="B1635" s="2" t="s">
        <v>1679</v>
      </c>
      <c r="C1635" s="2" t="s">
        <v>37</v>
      </c>
      <c r="D1635" s="3">
        <v>4512</v>
      </c>
      <c r="E1635" s="4" t="s">
        <v>38</v>
      </c>
      <c r="F1635" s="5">
        <v>3.56</v>
      </c>
      <c r="G1635" s="4" t="s">
        <v>39</v>
      </c>
      <c r="H1635" s="6">
        <f t="shared" si="25"/>
        <v>16062.72</v>
      </c>
    </row>
    <row r="1636" spans="1:8" x14ac:dyDescent="0.2">
      <c r="A1636" s="2" t="s">
        <v>1709</v>
      </c>
      <c r="B1636" s="2" t="s">
        <v>1679</v>
      </c>
      <c r="C1636" s="2" t="s">
        <v>86</v>
      </c>
      <c r="D1636" s="3">
        <v>3952</v>
      </c>
      <c r="E1636" s="4" t="s">
        <v>72</v>
      </c>
      <c r="F1636" s="5">
        <v>8693.93</v>
      </c>
      <c r="G1636" s="4" t="s">
        <v>73</v>
      </c>
      <c r="H1636" s="6">
        <f t="shared" si="25"/>
        <v>34358411.359999999</v>
      </c>
    </row>
    <row r="1637" spans="1:8" x14ac:dyDescent="0.2">
      <c r="A1637" s="2" t="s">
        <v>1710</v>
      </c>
      <c r="B1637" s="2" t="s">
        <v>1679</v>
      </c>
      <c r="C1637" s="2" t="s">
        <v>44</v>
      </c>
      <c r="D1637" s="3">
        <v>2962</v>
      </c>
      <c r="E1637" s="4" t="s">
        <v>24</v>
      </c>
      <c r="F1637" s="5">
        <v>1.52</v>
      </c>
      <c r="G1637" s="4" t="s">
        <v>25</v>
      </c>
      <c r="H1637" s="6">
        <f t="shared" si="25"/>
        <v>4502.24</v>
      </c>
    </row>
    <row r="1638" spans="1:8" x14ac:dyDescent="0.2">
      <c r="A1638" s="2" t="s">
        <v>1711</v>
      </c>
      <c r="B1638" s="2" t="s">
        <v>1679</v>
      </c>
      <c r="C1638" s="2" t="s">
        <v>44</v>
      </c>
      <c r="D1638" s="3">
        <v>935</v>
      </c>
      <c r="E1638" s="4" t="s">
        <v>24</v>
      </c>
      <c r="F1638" s="5">
        <v>1.07</v>
      </c>
      <c r="G1638" s="4" t="s">
        <v>25</v>
      </c>
      <c r="H1638" s="6">
        <f t="shared" si="25"/>
        <v>1000.45</v>
      </c>
    </row>
    <row r="1639" spans="1:8" x14ac:dyDescent="0.2">
      <c r="A1639" s="2" t="s">
        <v>1712</v>
      </c>
      <c r="B1639" s="2" t="s">
        <v>1679</v>
      </c>
      <c r="C1639" s="2" t="s">
        <v>52</v>
      </c>
      <c r="D1639" s="3">
        <v>2668</v>
      </c>
      <c r="E1639" s="4" t="s">
        <v>53</v>
      </c>
      <c r="F1639" s="5">
        <v>9.08</v>
      </c>
      <c r="G1639" s="4" t="s">
        <v>54</v>
      </c>
      <c r="H1639" s="6">
        <f t="shared" si="25"/>
        <v>24225.439999999999</v>
      </c>
    </row>
    <row r="1640" spans="1:8" x14ac:dyDescent="0.2">
      <c r="A1640" s="2" t="s">
        <v>1713</v>
      </c>
      <c r="B1640" s="2" t="s">
        <v>1679</v>
      </c>
      <c r="C1640" s="2" t="s">
        <v>86</v>
      </c>
      <c r="D1640" s="3">
        <v>4799</v>
      </c>
      <c r="E1640" s="4" t="s">
        <v>72</v>
      </c>
      <c r="F1640" s="5">
        <v>7967.51</v>
      </c>
      <c r="G1640" s="4" t="s">
        <v>73</v>
      </c>
      <c r="H1640" s="6">
        <f t="shared" si="25"/>
        <v>38236080.490000002</v>
      </c>
    </row>
    <row r="1641" spans="1:8" x14ac:dyDescent="0.2">
      <c r="A1641" s="2" t="s">
        <v>1714</v>
      </c>
      <c r="B1641" s="2" t="s">
        <v>1679</v>
      </c>
      <c r="C1641" s="2" t="s">
        <v>42</v>
      </c>
      <c r="D1641" s="3">
        <v>83</v>
      </c>
      <c r="E1641" s="4" t="s">
        <v>24</v>
      </c>
      <c r="F1641" s="5">
        <v>6.41</v>
      </c>
      <c r="G1641" s="4" t="s">
        <v>25</v>
      </c>
      <c r="H1641" s="6">
        <f t="shared" si="25"/>
        <v>532.03</v>
      </c>
    </row>
    <row r="1642" spans="1:8" x14ac:dyDescent="0.2">
      <c r="A1642" s="2" t="s">
        <v>1715</v>
      </c>
      <c r="B1642" s="2" t="s">
        <v>1679</v>
      </c>
      <c r="C1642" s="2" t="s">
        <v>46</v>
      </c>
      <c r="D1642" s="3">
        <v>3903</v>
      </c>
      <c r="E1642" s="4" t="s">
        <v>20</v>
      </c>
      <c r="F1642" s="5">
        <v>3.38</v>
      </c>
      <c r="G1642" s="4" t="s">
        <v>21</v>
      </c>
      <c r="H1642" s="6">
        <f t="shared" si="25"/>
        <v>13192.14</v>
      </c>
    </row>
    <row r="1643" spans="1:8" x14ac:dyDescent="0.2">
      <c r="A1643" s="2" t="s">
        <v>1716</v>
      </c>
      <c r="B1643" s="2" t="s">
        <v>1679</v>
      </c>
      <c r="C1643" s="2" t="s">
        <v>89</v>
      </c>
      <c r="D1643" s="3">
        <v>3052</v>
      </c>
      <c r="E1643" s="4" t="s">
        <v>30</v>
      </c>
      <c r="F1643" s="5">
        <v>2.72</v>
      </c>
      <c r="G1643" s="4" t="s">
        <v>31</v>
      </c>
      <c r="H1643" s="6">
        <f t="shared" si="25"/>
        <v>8301.44</v>
      </c>
    </row>
    <row r="1644" spans="1:8" x14ac:dyDescent="0.2">
      <c r="A1644" s="2" t="s">
        <v>1717</v>
      </c>
      <c r="B1644" s="2" t="s">
        <v>1679</v>
      </c>
      <c r="C1644" s="2" t="s">
        <v>42</v>
      </c>
      <c r="D1644" s="3">
        <v>1301</v>
      </c>
      <c r="E1644" s="4" t="s">
        <v>24</v>
      </c>
      <c r="F1644" s="5">
        <v>5</v>
      </c>
      <c r="G1644" s="4" t="s">
        <v>25</v>
      </c>
      <c r="H1644" s="6">
        <f t="shared" si="25"/>
        <v>6505</v>
      </c>
    </row>
    <row r="1645" spans="1:8" x14ac:dyDescent="0.2">
      <c r="A1645" s="2" t="s">
        <v>1718</v>
      </c>
      <c r="B1645" s="2" t="s">
        <v>1679</v>
      </c>
      <c r="C1645" s="2" t="s">
        <v>147</v>
      </c>
      <c r="D1645" s="3">
        <v>2782</v>
      </c>
      <c r="E1645" s="4" t="s">
        <v>53</v>
      </c>
      <c r="F1645" s="5">
        <v>15.45</v>
      </c>
      <c r="G1645" s="4" t="s">
        <v>54</v>
      </c>
      <c r="H1645" s="6">
        <f t="shared" si="25"/>
        <v>42981.9</v>
      </c>
    </row>
    <row r="1646" spans="1:8" x14ac:dyDescent="0.2">
      <c r="A1646" s="2" t="s">
        <v>1719</v>
      </c>
      <c r="B1646" s="2" t="s">
        <v>1679</v>
      </c>
      <c r="C1646" s="2" t="s">
        <v>37</v>
      </c>
      <c r="D1646" s="3">
        <v>499</v>
      </c>
      <c r="E1646" s="4" t="s">
        <v>38</v>
      </c>
      <c r="F1646" s="5">
        <v>3.07</v>
      </c>
      <c r="G1646" s="4" t="s">
        <v>39</v>
      </c>
      <c r="H1646" s="6">
        <f t="shared" si="25"/>
        <v>1531.9299999999998</v>
      </c>
    </row>
    <row r="1647" spans="1:8" x14ac:dyDescent="0.2">
      <c r="A1647" s="2" t="s">
        <v>1720</v>
      </c>
      <c r="B1647" s="2" t="s">
        <v>1679</v>
      </c>
      <c r="C1647" s="2" t="s">
        <v>89</v>
      </c>
      <c r="D1647" s="3">
        <v>4403</v>
      </c>
      <c r="E1647" s="4" t="s">
        <v>30</v>
      </c>
      <c r="F1647" s="5">
        <v>2.75</v>
      </c>
      <c r="G1647" s="4" t="s">
        <v>31</v>
      </c>
      <c r="H1647" s="6">
        <f t="shared" si="25"/>
        <v>12108.25</v>
      </c>
    </row>
    <row r="1648" spans="1:8" x14ac:dyDescent="0.2">
      <c r="A1648" s="2" t="s">
        <v>1721</v>
      </c>
      <c r="B1648" s="2" t="s">
        <v>1679</v>
      </c>
      <c r="C1648" s="2" t="s">
        <v>89</v>
      </c>
      <c r="D1648" s="3">
        <v>4006</v>
      </c>
      <c r="E1648" s="4" t="s">
        <v>30</v>
      </c>
      <c r="F1648" s="5">
        <v>2.08</v>
      </c>
      <c r="G1648" s="4" t="s">
        <v>31</v>
      </c>
      <c r="H1648" s="6">
        <f t="shared" si="25"/>
        <v>8332.48</v>
      </c>
    </row>
    <row r="1649" spans="1:8" x14ac:dyDescent="0.2">
      <c r="A1649" s="2" t="s">
        <v>1722</v>
      </c>
      <c r="B1649" s="2" t="s">
        <v>1679</v>
      </c>
      <c r="C1649" s="2" t="s">
        <v>29</v>
      </c>
      <c r="D1649" s="3">
        <v>2855</v>
      </c>
      <c r="E1649" s="4" t="s">
        <v>30</v>
      </c>
      <c r="F1649" s="5">
        <v>1.97</v>
      </c>
      <c r="G1649" s="4" t="s">
        <v>31</v>
      </c>
      <c r="H1649" s="6">
        <f t="shared" si="25"/>
        <v>5624.35</v>
      </c>
    </row>
    <row r="1650" spans="1:8" x14ac:dyDescent="0.2">
      <c r="A1650" s="2" t="s">
        <v>1723</v>
      </c>
      <c r="B1650" s="2" t="s">
        <v>1679</v>
      </c>
      <c r="C1650" s="2" t="s">
        <v>23</v>
      </c>
      <c r="D1650" s="3">
        <v>1590</v>
      </c>
      <c r="E1650" s="4" t="s">
        <v>24</v>
      </c>
      <c r="F1650" s="5">
        <v>12.13</v>
      </c>
      <c r="G1650" s="4" t="s">
        <v>25</v>
      </c>
      <c r="H1650" s="6">
        <f t="shared" si="25"/>
        <v>19286.7</v>
      </c>
    </row>
    <row r="1651" spans="1:8" x14ac:dyDescent="0.2">
      <c r="A1651" s="2" t="s">
        <v>1724</v>
      </c>
      <c r="B1651" s="2" t="s">
        <v>1679</v>
      </c>
      <c r="C1651" s="2" t="s">
        <v>67</v>
      </c>
      <c r="D1651" s="3">
        <v>2944</v>
      </c>
      <c r="E1651" s="4" t="s">
        <v>24</v>
      </c>
      <c r="F1651" s="5">
        <v>0.52</v>
      </c>
      <c r="G1651" s="4" t="s">
        <v>25</v>
      </c>
      <c r="H1651" s="6">
        <f t="shared" si="25"/>
        <v>1530.88</v>
      </c>
    </row>
    <row r="1652" spans="1:8" x14ac:dyDescent="0.2">
      <c r="A1652" s="2" t="s">
        <v>1725</v>
      </c>
      <c r="B1652" s="2" t="s">
        <v>1679</v>
      </c>
      <c r="C1652" s="2" t="s">
        <v>86</v>
      </c>
      <c r="D1652" s="3">
        <v>333</v>
      </c>
      <c r="E1652" s="4" t="s">
        <v>72</v>
      </c>
      <c r="F1652" s="5">
        <v>8479.42</v>
      </c>
      <c r="G1652" s="4" t="s">
        <v>73</v>
      </c>
      <c r="H1652" s="6">
        <f t="shared" si="25"/>
        <v>2823646.86</v>
      </c>
    </row>
    <row r="1653" spans="1:8" x14ac:dyDescent="0.2">
      <c r="A1653" s="2" t="s">
        <v>1726</v>
      </c>
      <c r="B1653" s="2" t="s">
        <v>1679</v>
      </c>
      <c r="C1653" s="2" t="s">
        <v>23</v>
      </c>
      <c r="D1653" s="3">
        <v>4589</v>
      </c>
      <c r="E1653" s="4" t="s">
        <v>24</v>
      </c>
      <c r="F1653" s="5">
        <v>13.77</v>
      </c>
      <c r="G1653" s="4" t="s">
        <v>25</v>
      </c>
      <c r="H1653" s="6">
        <f t="shared" si="25"/>
        <v>63190.53</v>
      </c>
    </row>
    <row r="1654" spans="1:8" x14ac:dyDescent="0.2">
      <c r="A1654" s="2" t="s">
        <v>1727</v>
      </c>
      <c r="B1654" s="2" t="s">
        <v>1728</v>
      </c>
      <c r="C1654" s="2" t="s">
        <v>48</v>
      </c>
      <c r="D1654" s="3">
        <v>1564</v>
      </c>
      <c r="E1654" s="4" t="s">
        <v>24</v>
      </c>
      <c r="F1654" s="5">
        <v>0.14000000000000001</v>
      </c>
      <c r="G1654" s="4" t="s">
        <v>25</v>
      </c>
      <c r="H1654" s="6">
        <f t="shared" si="25"/>
        <v>218.96</v>
      </c>
    </row>
    <row r="1655" spans="1:8" x14ac:dyDescent="0.2">
      <c r="A1655" s="2" t="s">
        <v>1729</v>
      </c>
      <c r="B1655" s="2" t="s">
        <v>1728</v>
      </c>
      <c r="C1655" s="2" t="s">
        <v>29</v>
      </c>
      <c r="D1655" s="3">
        <v>2858</v>
      </c>
      <c r="E1655" s="4" t="s">
        <v>30</v>
      </c>
      <c r="F1655" s="5">
        <v>1.39</v>
      </c>
      <c r="G1655" s="4" t="s">
        <v>31</v>
      </c>
      <c r="H1655" s="6">
        <f t="shared" si="25"/>
        <v>3972.62</v>
      </c>
    </row>
    <row r="1656" spans="1:8" x14ac:dyDescent="0.2">
      <c r="A1656" s="2" t="s">
        <v>1730</v>
      </c>
      <c r="B1656" s="2" t="s">
        <v>1728</v>
      </c>
      <c r="C1656" s="2" t="s">
        <v>23</v>
      </c>
      <c r="D1656" s="3">
        <v>2265</v>
      </c>
      <c r="E1656" s="4" t="s">
        <v>24</v>
      </c>
      <c r="F1656" s="5">
        <v>17.21</v>
      </c>
      <c r="G1656" s="4" t="s">
        <v>25</v>
      </c>
      <c r="H1656" s="6">
        <f t="shared" si="25"/>
        <v>38980.65</v>
      </c>
    </row>
    <row r="1657" spans="1:8" x14ac:dyDescent="0.2">
      <c r="A1657" s="2" t="s">
        <v>1731</v>
      </c>
      <c r="B1657" s="2" t="s">
        <v>1728</v>
      </c>
      <c r="C1657" s="2" t="s">
        <v>147</v>
      </c>
      <c r="D1657" s="3">
        <v>4552</v>
      </c>
      <c r="E1657" s="4" t="s">
        <v>53</v>
      </c>
      <c r="F1657" s="5">
        <v>9.2799999999999994</v>
      </c>
      <c r="G1657" s="4" t="s">
        <v>54</v>
      </c>
      <c r="H1657" s="6">
        <f t="shared" si="25"/>
        <v>42242.559999999998</v>
      </c>
    </row>
    <row r="1658" spans="1:8" x14ac:dyDescent="0.2">
      <c r="A1658" s="2" t="s">
        <v>1732</v>
      </c>
      <c r="B1658" s="2" t="s">
        <v>1728</v>
      </c>
      <c r="C1658" s="2" t="s">
        <v>78</v>
      </c>
      <c r="D1658" s="3">
        <v>1279</v>
      </c>
      <c r="E1658" s="4" t="s">
        <v>38</v>
      </c>
      <c r="F1658" s="5">
        <v>2.2599999999999998</v>
      </c>
      <c r="G1658" s="4" t="s">
        <v>39</v>
      </c>
      <c r="H1658" s="6">
        <f t="shared" si="25"/>
        <v>2890.5399999999995</v>
      </c>
    </row>
    <row r="1659" spans="1:8" x14ac:dyDescent="0.2">
      <c r="A1659" s="2" t="s">
        <v>1733</v>
      </c>
      <c r="B1659" s="2" t="s">
        <v>1728</v>
      </c>
      <c r="C1659" s="2" t="s">
        <v>86</v>
      </c>
      <c r="D1659" s="3">
        <v>4446</v>
      </c>
      <c r="E1659" s="4" t="s">
        <v>72</v>
      </c>
      <c r="F1659" s="5">
        <v>8313.9599999999991</v>
      </c>
      <c r="G1659" s="4" t="s">
        <v>73</v>
      </c>
      <c r="H1659" s="6">
        <f t="shared" si="25"/>
        <v>36963866.159999996</v>
      </c>
    </row>
    <row r="1660" spans="1:8" x14ac:dyDescent="0.2">
      <c r="A1660" s="2" t="s">
        <v>1734</v>
      </c>
      <c r="B1660" s="2" t="s">
        <v>1728</v>
      </c>
      <c r="C1660" s="2" t="s">
        <v>33</v>
      </c>
      <c r="D1660" s="3">
        <v>4154</v>
      </c>
      <c r="E1660" s="4" t="s">
        <v>34</v>
      </c>
      <c r="F1660" s="5">
        <v>4.45</v>
      </c>
      <c r="G1660" s="4" t="s">
        <v>35</v>
      </c>
      <c r="H1660" s="6">
        <f t="shared" si="25"/>
        <v>18485.3</v>
      </c>
    </row>
    <row r="1661" spans="1:8" x14ac:dyDescent="0.2">
      <c r="A1661" s="2" t="s">
        <v>1735</v>
      </c>
      <c r="B1661" s="2" t="s">
        <v>1728</v>
      </c>
      <c r="C1661" s="2" t="s">
        <v>118</v>
      </c>
      <c r="D1661" s="3">
        <v>163</v>
      </c>
      <c r="E1661" s="4" t="s">
        <v>24</v>
      </c>
      <c r="F1661" s="5">
        <v>0.83</v>
      </c>
      <c r="G1661" s="4" t="s">
        <v>25</v>
      </c>
      <c r="H1661" s="6">
        <f t="shared" si="25"/>
        <v>135.29</v>
      </c>
    </row>
    <row r="1662" spans="1:8" x14ac:dyDescent="0.2">
      <c r="A1662" s="2" t="s">
        <v>1736</v>
      </c>
      <c r="B1662" s="2" t="s">
        <v>1728</v>
      </c>
      <c r="C1662" s="2" t="s">
        <v>19</v>
      </c>
      <c r="D1662" s="3">
        <v>1966</v>
      </c>
      <c r="E1662" s="4" t="s">
        <v>20</v>
      </c>
      <c r="F1662" s="5">
        <v>1.29</v>
      </c>
      <c r="G1662" s="4" t="s">
        <v>21</v>
      </c>
      <c r="H1662" s="6">
        <f t="shared" si="25"/>
        <v>2536.14</v>
      </c>
    </row>
    <row r="1663" spans="1:8" x14ac:dyDescent="0.2">
      <c r="A1663" s="2" t="s">
        <v>1737</v>
      </c>
      <c r="B1663" s="2" t="s">
        <v>1728</v>
      </c>
      <c r="C1663" s="2" t="s">
        <v>27</v>
      </c>
      <c r="D1663" s="3">
        <v>4425</v>
      </c>
      <c r="E1663" s="4" t="s">
        <v>20</v>
      </c>
      <c r="F1663" s="5">
        <v>2.1800000000000002</v>
      </c>
      <c r="G1663" s="4" t="s">
        <v>21</v>
      </c>
      <c r="H1663" s="6">
        <f t="shared" si="25"/>
        <v>9646.5</v>
      </c>
    </row>
    <row r="1664" spans="1:8" x14ac:dyDescent="0.2">
      <c r="A1664" s="2" t="s">
        <v>1738</v>
      </c>
      <c r="B1664" s="2" t="s">
        <v>1728</v>
      </c>
      <c r="C1664" s="2" t="s">
        <v>44</v>
      </c>
      <c r="D1664" s="3">
        <v>4303</v>
      </c>
      <c r="E1664" s="4" t="s">
        <v>24</v>
      </c>
      <c r="F1664" s="5">
        <v>1.38</v>
      </c>
      <c r="G1664" s="4" t="s">
        <v>25</v>
      </c>
      <c r="H1664" s="6">
        <f t="shared" si="25"/>
        <v>5938.1399999999994</v>
      </c>
    </row>
    <row r="1665" spans="1:8" x14ac:dyDescent="0.2">
      <c r="A1665" s="2" t="s">
        <v>1739</v>
      </c>
      <c r="B1665" s="2" t="s">
        <v>1728</v>
      </c>
      <c r="C1665" s="2" t="s">
        <v>29</v>
      </c>
      <c r="D1665" s="3">
        <v>1272</v>
      </c>
      <c r="E1665" s="4" t="s">
        <v>30</v>
      </c>
      <c r="F1665" s="5">
        <v>1.74</v>
      </c>
      <c r="G1665" s="4" t="s">
        <v>31</v>
      </c>
      <c r="H1665" s="6">
        <f t="shared" si="25"/>
        <v>2213.2800000000002</v>
      </c>
    </row>
    <row r="1666" spans="1:8" x14ac:dyDescent="0.2">
      <c r="A1666" s="2" t="s">
        <v>1740</v>
      </c>
      <c r="B1666" s="2" t="s">
        <v>1728</v>
      </c>
      <c r="C1666" s="2" t="s">
        <v>57</v>
      </c>
      <c r="D1666" s="3">
        <v>3367</v>
      </c>
      <c r="E1666" s="4" t="s">
        <v>20</v>
      </c>
      <c r="F1666" s="5">
        <v>0.86</v>
      </c>
      <c r="G1666" s="4" t="s">
        <v>21</v>
      </c>
      <c r="H1666" s="6">
        <f t="shared" ref="H1666:H1729" si="26">D1666*F1666</f>
        <v>2895.62</v>
      </c>
    </row>
    <row r="1667" spans="1:8" x14ac:dyDescent="0.2">
      <c r="A1667" s="2" t="s">
        <v>1741</v>
      </c>
      <c r="B1667" s="2" t="s">
        <v>1728</v>
      </c>
      <c r="C1667" s="2" t="s">
        <v>50</v>
      </c>
      <c r="D1667" s="3">
        <v>798</v>
      </c>
      <c r="E1667" s="4" t="s">
        <v>20</v>
      </c>
      <c r="F1667" s="5">
        <v>1.01</v>
      </c>
      <c r="G1667" s="4" t="s">
        <v>21</v>
      </c>
      <c r="H1667" s="6">
        <f t="shared" si="26"/>
        <v>805.98</v>
      </c>
    </row>
    <row r="1668" spans="1:8" x14ac:dyDescent="0.2">
      <c r="A1668" s="2" t="s">
        <v>1742</v>
      </c>
      <c r="B1668" s="2" t="s">
        <v>1728</v>
      </c>
      <c r="C1668" s="2" t="s">
        <v>27</v>
      </c>
      <c r="D1668" s="3">
        <v>368</v>
      </c>
      <c r="E1668" s="4" t="s">
        <v>20</v>
      </c>
      <c r="F1668" s="5">
        <v>2.2000000000000002</v>
      </c>
      <c r="G1668" s="4" t="s">
        <v>21</v>
      </c>
      <c r="H1668" s="6">
        <f t="shared" si="26"/>
        <v>809.6</v>
      </c>
    </row>
    <row r="1669" spans="1:8" x14ac:dyDescent="0.2">
      <c r="A1669" s="2" t="s">
        <v>1743</v>
      </c>
      <c r="B1669" s="2" t="s">
        <v>1728</v>
      </c>
      <c r="C1669" s="2" t="s">
        <v>89</v>
      </c>
      <c r="D1669" s="3">
        <v>1473</v>
      </c>
      <c r="E1669" s="4" t="s">
        <v>30</v>
      </c>
      <c r="F1669" s="5">
        <v>2.85</v>
      </c>
      <c r="G1669" s="4" t="s">
        <v>31</v>
      </c>
      <c r="H1669" s="6">
        <f t="shared" si="26"/>
        <v>4198.05</v>
      </c>
    </row>
    <row r="1670" spans="1:8" x14ac:dyDescent="0.2">
      <c r="A1670" s="2" t="s">
        <v>1744</v>
      </c>
      <c r="B1670" s="2" t="s">
        <v>1728</v>
      </c>
      <c r="C1670" s="2" t="s">
        <v>44</v>
      </c>
      <c r="D1670" s="3">
        <v>886</v>
      </c>
      <c r="E1670" s="4" t="s">
        <v>24</v>
      </c>
      <c r="F1670" s="5">
        <v>1.24</v>
      </c>
      <c r="G1670" s="4" t="s">
        <v>25</v>
      </c>
      <c r="H1670" s="6">
        <f t="shared" si="26"/>
        <v>1098.6400000000001</v>
      </c>
    </row>
    <row r="1671" spans="1:8" x14ac:dyDescent="0.2">
      <c r="A1671" s="2" t="s">
        <v>1745</v>
      </c>
      <c r="B1671" s="2" t="s">
        <v>1728</v>
      </c>
      <c r="C1671" s="2" t="s">
        <v>50</v>
      </c>
      <c r="D1671" s="3">
        <v>270</v>
      </c>
      <c r="E1671" s="4" t="s">
        <v>20</v>
      </c>
      <c r="F1671" s="5">
        <v>1.04</v>
      </c>
      <c r="G1671" s="4" t="s">
        <v>21</v>
      </c>
      <c r="H1671" s="6">
        <f t="shared" si="26"/>
        <v>280.8</v>
      </c>
    </row>
    <row r="1672" spans="1:8" x14ac:dyDescent="0.2">
      <c r="A1672" s="2" t="s">
        <v>1746</v>
      </c>
      <c r="B1672" s="2" t="s">
        <v>1728</v>
      </c>
      <c r="C1672" s="2" t="s">
        <v>67</v>
      </c>
      <c r="D1672" s="3">
        <v>4023</v>
      </c>
      <c r="E1672" s="4" t="s">
        <v>24</v>
      </c>
      <c r="F1672" s="5">
        <v>0.46</v>
      </c>
      <c r="G1672" s="4" t="s">
        <v>25</v>
      </c>
      <c r="H1672" s="6">
        <f t="shared" si="26"/>
        <v>1850.5800000000002</v>
      </c>
    </row>
    <row r="1673" spans="1:8" x14ac:dyDescent="0.2">
      <c r="A1673" s="2" t="s">
        <v>1747</v>
      </c>
      <c r="B1673" s="2" t="s">
        <v>1728</v>
      </c>
      <c r="C1673" s="2" t="s">
        <v>46</v>
      </c>
      <c r="D1673" s="3">
        <v>2106</v>
      </c>
      <c r="E1673" s="4" t="s">
        <v>20</v>
      </c>
      <c r="F1673" s="5">
        <v>2.1</v>
      </c>
      <c r="G1673" s="4" t="s">
        <v>21</v>
      </c>
      <c r="H1673" s="6">
        <f t="shared" si="26"/>
        <v>4422.6000000000004</v>
      </c>
    </row>
    <row r="1674" spans="1:8" x14ac:dyDescent="0.2">
      <c r="A1674" s="2" t="s">
        <v>1748</v>
      </c>
      <c r="B1674" s="2" t="s">
        <v>1728</v>
      </c>
      <c r="C1674" s="2" t="s">
        <v>42</v>
      </c>
      <c r="D1674" s="3">
        <v>4973</v>
      </c>
      <c r="E1674" s="4" t="s">
        <v>24</v>
      </c>
      <c r="F1674" s="5">
        <v>5.65</v>
      </c>
      <c r="G1674" s="4" t="s">
        <v>25</v>
      </c>
      <c r="H1674" s="6">
        <f t="shared" si="26"/>
        <v>28097.45</v>
      </c>
    </row>
    <row r="1675" spans="1:8" x14ac:dyDescent="0.2">
      <c r="A1675" s="2" t="s">
        <v>1749</v>
      </c>
      <c r="B1675" s="2" t="s">
        <v>1728</v>
      </c>
      <c r="C1675" s="2" t="s">
        <v>33</v>
      </c>
      <c r="D1675" s="3">
        <v>1719</v>
      </c>
      <c r="E1675" s="4" t="s">
        <v>34</v>
      </c>
      <c r="F1675" s="5">
        <v>5.14</v>
      </c>
      <c r="G1675" s="4" t="s">
        <v>35</v>
      </c>
      <c r="H1675" s="6">
        <f t="shared" si="26"/>
        <v>8835.66</v>
      </c>
    </row>
    <row r="1676" spans="1:8" x14ac:dyDescent="0.2">
      <c r="A1676" s="2" t="s">
        <v>1750</v>
      </c>
      <c r="B1676" s="2" t="s">
        <v>1728</v>
      </c>
      <c r="C1676" s="2" t="s">
        <v>27</v>
      </c>
      <c r="D1676" s="3">
        <v>3844</v>
      </c>
      <c r="E1676" s="4" t="s">
        <v>20</v>
      </c>
      <c r="F1676" s="5">
        <v>2.16</v>
      </c>
      <c r="G1676" s="4" t="s">
        <v>21</v>
      </c>
      <c r="H1676" s="6">
        <f t="shared" si="26"/>
        <v>8303.0400000000009</v>
      </c>
    </row>
    <row r="1677" spans="1:8" x14ac:dyDescent="0.2">
      <c r="A1677" s="2" t="s">
        <v>1751</v>
      </c>
      <c r="B1677" s="2" t="s">
        <v>1728</v>
      </c>
      <c r="C1677" s="2" t="s">
        <v>37</v>
      </c>
      <c r="D1677" s="3">
        <v>2966</v>
      </c>
      <c r="E1677" s="4" t="s">
        <v>38</v>
      </c>
      <c r="F1677" s="5">
        <v>3.67</v>
      </c>
      <c r="G1677" s="4" t="s">
        <v>39</v>
      </c>
      <c r="H1677" s="6">
        <f t="shared" si="26"/>
        <v>10885.22</v>
      </c>
    </row>
    <row r="1678" spans="1:8" x14ac:dyDescent="0.2">
      <c r="A1678" s="2" t="s">
        <v>1752</v>
      </c>
      <c r="B1678" s="2" t="s">
        <v>1728</v>
      </c>
      <c r="C1678" s="2" t="s">
        <v>52</v>
      </c>
      <c r="D1678" s="3">
        <v>3033</v>
      </c>
      <c r="E1678" s="4" t="s">
        <v>53</v>
      </c>
      <c r="F1678" s="5">
        <v>12.97</v>
      </c>
      <c r="G1678" s="4" t="s">
        <v>54</v>
      </c>
      <c r="H1678" s="6">
        <f t="shared" si="26"/>
        <v>39338.01</v>
      </c>
    </row>
    <row r="1679" spans="1:8" x14ac:dyDescent="0.2">
      <c r="A1679" s="2" t="s">
        <v>1753</v>
      </c>
      <c r="B1679" s="2" t="s">
        <v>1728</v>
      </c>
      <c r="C1679" s="2" t="s">
        <v>37</v>
      </c>
      <c r="D1679" s="3">
        <v>2187</v>
      </c>
      <c r="E1679" s="4" t="s">
        <v>38</v>
      </c>
      <c r="F1679" s="5">
        <v>3.59</v>
      </c>
      <c r="G1679" s="4" t="s">
        <v>39</v>
      </c>
      <c r="H1679" s="6">
        <f t="shared" si="26"/>
        <v>7851.33</v>
      </c>
    </row>
    <row r="1680" spans="1:8" x14ac:dyDescent="0.2">
      <c r="A1680" s="2" t="s">
        <v>1754</v>
      </c>
      <c r="B1680" s="2" t="s">
        <v>1728</v>
      </c>
      <c r="C1680" s="2" t="s">
        <v>27</v>
      </c>
      <c r="D1680" s="3">
        <v>2499</v>
      </c>
      <c r="E1680" s="4" t="s">
        <v>20</v>
      </c>
      <c r="F1680" s="5">
        <v>1.29</v>
      </c>
      <c r="G1680" s="4" t="s">
        <v>21</v>
      </c>
      <c r="H1680" s="6">
        <f t="shared" si="26"/>
        <v>3223.71</v>
      </c>
    </row>
    <row r="1681" spans="1:8" x14ac:dyDescent="0.2">
      <c r="A1681" s="2" t="s">
        <v>1755</v>
      </c>
      <c r="B1681" s="2" t="s">
        <v>1728</v>
      </c>
      <c r="C1681" s="2" t="s">
        <v>44</v>
      </c>
      <c r="D1681" s="3">
        <v>4265</v>
      </c>
      <c r="E1681" s="4" t="s">
        <v>24</v>
      </c>
      <c r="F1681" s="5">
        <v>0.97</v>
      </c>
      <c r="G1681" s="4" t="s">
        <v>25</v>
      </c>
      <c r="H1681" s="6">
        <f t="shared" si="26"/>
        <v>4137.05</v>
      </c>
    </row>
    <row r="1682" spans="1:8" x14ac:dyDescent="0.2">
      <c r="A1682" s="2" t="s">
        <v>1756</v>
      </c>
      <c r="B1682" s="2" t="s">
        <v>1728</v>
      </c>
      <c r="C1682" s="2" t="s">
        <v>42</v>
      </c>
      <c r="D1682" s="3">
        <v>4365</v>
      </c>
      <c r="E1682" s="4" t="s">
        <v>24</v>
      </c>
      <c r="F1682" s="5">
        <v>4.66</v>
      </c>
      <c r="G1682" s="4" t="s">
        <v>25</v>
      </c>
      <c r="H1682" s="6">
        <f t="shared" si="26"/>
        <v>20340.900000000001</v>
      </c>
    </row>
    <row r="1683" spans="1:8" x14ac:dyDescent="0.2">
      <c r="A1683" s="2" t="s">
        <v>1757</v>
      </c>
      <c r="B1683" s="2" t="s">
        <v>1728</v>
      </c>
      <c r="C1683" s="2" t="s">
        <v>44</v>
      </c>
      <c r="D1683" s="3">
        <v>4320</v>
      </c>
      <c r="E1683" s="4" t="s">
        <v>24</v>
      </c>
      <c r="F1683" s="5">
        <v>1.36</v>
      </c>
      <c r="G1683" s="4" t="s">
        <v>25</v>
      </c>
      <c r="H1683" s="6">
        <f t="shared" si="26"/>
        <v>5875.2000000000007</v>
      </c>
    </row>
    <row r="1684" spans="1:8" x14ac:dyDescent="0.2">
      <c r="A1684" s="2" t="s">
        <v>1758</v>
      </c>
      <c r="B1684" s="2" t="s">
        <v>1728</v>
      </c>
      <c r="C1684" s="2" t="s">
        <v>46</v>
      </c>
      <c r="D1684" s="3">
        <v>1475</v>
      </c>
      <c r="E1684" s="4" t="s">
        <v>20</v>
      </c>
      <c r="F1684" s="5">
        <v>3.12</v>
      </c>
      <c r="G1684" s="4" t="s">
        <v>21</v>
      </c>
      <c r="H1684" s="6">
        <f t="shared" si="26"/>
        <v>4602</v>
      </c>
    </row>
    <row r="1685" spans="1:8" x14ac:dyDescent="0.2">
      <c r="A1685" s="2" t="s">
        <v>1759</v>
      </c>
      <c r="B1685" s="2" t="s">
        <v>1728</v>
      </c>
      <c r="C1685" s="2" t="s">
        <v>29</v>
      </c>
      <c r="D1685" s="3">
        <v>3411</v>
      </c>
      <c r="E1685" s="4" t="s">
        <v>30</v>
      </c>
      <c r="F1685" s="5">
        <v>1.9</v>
      </c>
      <c r="G1685" s="4" t="s">
        <v>31</v>
      </c>
      <c r="H1685" s="6">
        <f t="shared" si="26"/>
        <v>6480.9</v>
      </c>
    </row>
    <row r="1686" spans="1:8" x14ac:dyDescent="0.2">
      <c r="A1686" s="2" t="s">
        <v>1760</v>
      </c>
      <c r="B1686" s="2" t="s">
        <v>1728</v>
      </c>
      <c r="C1686" s="2" t="s">
        <v>46</v>
      </c>
      <c r="D1686" s="3">
        <v>2942</v>
      </c>
      <c r="E1686" s="4" t="s">
        <v>20</v>
      </c>
      <c r="F1686" s="5">
        <v>3.35</v>
      </c>
      <c r="G1686" s="4" t="s">
        <v>21</v>
      </c>
      <c r="H1686" s="6">
        <f t="shared" si="26"/>
        <v>9855.7000000000007</v>
      </c>
    </row>
    <row r="1687" spans="1:8" x14ac:dyDescent="0.2">
      <c r="A1687" s="2" t="s">
        <v>1761</v>
      </c>
      <c r="B1687" s="2" t="s">
        <v>1728</v>
      </c>
      <c r="C1687" s="2" t="s">
        <v>52</v>
      </c>
      <c r="D1687" s="3">
        <v>862</v>
      </c>
      <c r="E1687" s="4" t="s">
        <v>53</v>
      </c>
      <c r="F1687" s="5">
        <v>9.83</v>
      </c>
      <c r="G1687" s="4" t="s">
        <v>54</v>
      </c>
      <c r="H1687" s="6">
        <f t="shared" si="26"/>
        <v>8473.4600000000009</v>
      </c>
    </row>
    <row r="1688" spans="1:8" x14ac:dyDescent="0.2">
      <c r="A1688" s="2" t="s">
        <v>1762</v>
      </c>
      <c r="B1688" s="2" t="s">
        <v>1728</v>
      </c>
      <c r="C1688" s="2" t="s">
        <v>118</v>
      </c>
      <c r="D1688" s="3">
        <v>4515</v>
      </c>
      <c r="E1688" s="4" t="s">
        <v>24</v>
      </c>
      <c r="F1688" s="5">
        <v>0.68</v>
      </c>
      <c r="G1688" s="4" t="s">
        <v>25</v>
      </c>
      <c r="H1688" s="6">
        <f t="shared" si="26"/>
        <v>3070.2000000000003</v>
      </c>
    </row>
    <row r="1689" spans="1:8" x14ac:dyDescent="0.2">
      <c r="A1689" s="2" t="s">
        <v>1763</v>
      </c>
      <c r="B1689" s="2" t="s">
        <v>1728</v>
      </c>
      <c r="C1689" s="2" t="s">
        <v>57</v>
      </c>
      <c r="D1689" s="3">
        <v>1305</v>
      </c>
      <c r="E1689" s="4" t="s">
        <v>20</v>
      </c>
      <c r="F1689" s="5">
        <v>0.81</v>
      </c>
      <c r="G1689" s="4" t="s">
        <v>21</v>
      </c>
      <c r="H1689" s="6">
        <f t="shared" si="26"/>
        <v>1057.0500000000002</v>
      </c>
    </row>
    <row r="1690" spans="1:8" x14ac:dyDescent="0.2">
      <c r="A1690" s="2" t="s">
        <v>1764</v>
      </c>
      <c r="B1690" s="2" t="s">
        <v>1728</v>
      </c>
      <c r="C1690" s="2" t="s">
        <v>147</v>
      </c>
      <c r="D1690" s="3">
        <v>3639</v>
      </c>
      <c r="E1690" s="4" t="s">
        <v>53</v>
      </c>
      <c r="F1690" s="5">
        <v>15.47</v>
      </c>
      <c r="G1690" s="4" t="s">
        <v>54</v>
      </c>
      <c r="H1690" s="6">
        <f t="shared" si="26"/>
        <v>56295.33</v>
      </c>
    </row>
    <row r="1691" spans="1:8" x14ac:dyDescent="0.2">
      <c r="A1691" s="2" t="s">
        <v>1765</v>
      </c>
      <c r="B1691" s="2" t="s">
        <v>1728</v>
      </c>
      <c r="C1691" s="2" t="s">
        <v>57</v>
      </c>
      <c r="D1691" s="3">
        <v>4516</v>
      </c>
      <c r="E1691" s="4" t="s">
        <v>20</v>
      </c>
      <c r="F1691" s="5">
        <v>1</v>
      </c>
      <c r="G1691" s="4" t="s">
        <v>21</v>
      </c>
      <c r="H1691" s="6">
        <f t="shared" si="26"/>
        <v>4516</v>
      </c>
    </row>
    <row r="1692" spans="1:8" x14ac:dyDescent="0.2">
      <c r="A1692" s="2" t="s">
        <v>1766</v>
      </c>
      <c r="B1692" s="2" t="s">
        <v>1728</v>
      </c>
      <c r="C1692" s="2" t="s">
        <v>57</v>
      </c>
      <c r="D1692" s="3">
        <v>3055</v>
      </c>
      <c r="E1692" s="4" t="s">
        <v>20</v>
      </c>
      <c r="F1692" s="5">
        <v>0.76</v>
      </c>
      <c r="G1692" s="4" t="s">
        <v>21</v>
      </c>
      <c r="H1692" s="6">
        <f t="shared" si="26"/>
        <v>2321.8000000000002</v>
      </c>
    </row>
    <row r="1693" spans="1:8" x14ac:dyDescent="0.2">
      <c r="A1693" s="2" t="s">
        <v>1767</v>
      </c>
      <c r="B1693" s="2" t="s">
        <v>1728</v>
      </c>
      <c r="C1693" s="2" t="s">
        <v>52</v>
      </c>
      <c r="D1693" s="3">
        <v>2659</v>
      </c>
      <c r="E1693" s="4" t="s">
        <v>53</v>
      </c>
      <c r="F1693" s="5">
        <v>12.04</v>
      </c>
      <c r="G1693" s="4" t="s">
        <v>54</v>
      </c>
      <c r="H1693" s="6">
        <f t="shared" si="26"/>
        <v>32014.359999999997</v>
      </c>
    </row>
    <row r="1694" spans="1:8" x14ac:dyDescent="0.2">
      <c r="A1694" s="2" t="s">
        <v>1768</v>
      </c>
      <c r="B1694" s="2" t="s">
        <v>1728</v>
      </c>
      <c r="C1694" s="2" t="s">
        <v>46</v>
      </c>
      <c r="D1694" s="3">
        <v>4479</v>
      </c>
      <c r="E1694" s="4" t="s">
        <v>20</v>
      </c>
      <c r="F1694" s="5">
        <v>2.4300000000000002</v>
      </c>
      <c r="G1694" s="4" t="s">
        <v>21</v>
      </c>
      <c r="H1694" s="6">
        <f t="shared" si="26"/>
        <v>10883.970000000001</v>
      </c>
    </row>
    <row r="1695" spans="1:8" x14ac:dyDescent="0.2">
      <c r="A1695" s="2" t="s">
        <v>1769</v>
      </c>
      <c r="B1695" s="2" t="s">
        <v>1728</v>
      </c>
      <c r="C1695" s="2" t="s">
        <v>29</v>
      </c>
      <c r="D1695" s="3">
        <v>2091</v>
      </c>
      <c r="E1695" s="4" t="s">
        <v>30</v>
      </c>
      <c r="F1695" s="5">
        <v>1.43</v>
      </c>
      <c r="G1695" s="4" t="s">
        <v>31</v>
      </c>
      <c r="H1695" s="6">
        <f t="shared" si="26"/>
        <v>2990.1299999999997</v>
      </c>
    </row>
    <row r="1696" spans="1:8" x14ac:dyDescent="0.2">
      <c r="A1696" s="2" t="s">
        <v>1770</v>
      </c>
      <c r="B1696" s="2" t="s">
        <v>1728</v>
      </c>
      <c r="C1696" s="2" t="s">
        <v>23</v>
      </c>
      <c r="D1696" s="3">
        <v>3675</v>
      </c>
      <c r="E1696" s="4" t="s">
        <v>24</v>
      </c>
      <c r="F1696" s="5">
        <v>17.760000000000002</v>
      </c>
      <c r="G1696" s="4" t="s">
        <v>25</v>
      </c>
      <c r="H1696" s="6">
        <f t="shared" si="26"/>
        <v>65268.000000000007</v>
      </c>
    </row>
    <row r="1697" spans="1:8" x14ac:dyDescent="0.2">
      <c r="A1697" s="2" t="s">
        <v>1771</v>
      </c>
      <c r="B1697" s="2" t="s">
        <v>1728</v>
      </c>
      <c r="C1697" s="2" t="s">
        <v>33</v>
      </c>
      <c r="D1697" s="3">
        <v>293</v>
      </c>
      <c r="E1697" s="4" t="s">
        <v>34</v>
      </c>
      <c r="F1697" s="5">
        <v>5.96</v>
      </c>
      <c r="G1697" s="4" t="s">
        <v>35</v>
      </c>
      <c r="H1697" s="6">
        <f t="shared" si="26"/>
        <v>1746.28</v>
      </c>
    </row>
    <row r="1698" spans="1:8" x14ac:dyDescent="0.2">
      <c r="A1698" s="2" t="s">
        <v>1772</v>
      </c>
      <c r="B1698" s="2" t="s">
        <v>1728</v>
      </c>
      <c r="C1698" s="2" t="s">
        <v>147</v>
      </c>
      <c r="D1698" s="3">
        <v>143</v>
      </c>
      <c r="E1698" s="4" t="s">
        <v>53</v>
      </c>
      <c r="F1698" s="5">
        <v>12.14</v>
      </c>
      <c r="G1698" s="4" t="s">
        <v>54</v>
      </c>
      <c r="H1698" s="6">
        <f t="shared" si="26"/>
        <v>1736.02</v>
      </c>
    </row>
    <row r="1699" spans="1:8" x14ac:dyDescent="0.2">
      <c r="A1699" s="2" t="s">
        <v>1773</v>
      </c>
      <c r="B1699" s="2" t="s">
        <v>1728</v>
      </c>
      <c r="C1699" s="2" t="s">
        <v>71</v>
      </c>
      <c r="D1699" s="3">
        <v>63</v>
      </c>
      <c r="E1699" s="4" t="s">
        <v>72</v>
      </c>
      <c r="F1699" s="5">
        <v>2580.1999999999998</v>
      </c>
      <c r="G1699" s="4" t="s">
        <v>73</v>
      </c>
      <c r="H1699" s="6">
        <f t="shared" si="26"/>
        <v>162552.59999999998</v>
      </c>
    </row>
    <row r="1700" spans="1:8" x14ac:dyDescent="0.2">
      <c r="A1700" s="2" t="s">
        <v>1774</v>
      </c>
      <c r="B1700" s="2" t="s">
        <v>1728</v>
      </c>
      <c r="C1700" s="2" t="s">
        <v>42</v>
      </c>
      <c r="D1700" s="3">
        <v>1769</v>
      </c>
      <c r="E1700" s="4" t="s">
        <v>24</v>
      </c>
      <c r="F1700" s="5">
        <v>6.07</v>
      </c>
      <c r="G1700" s="4" t="s">
        <v>25</v>
      </c>
      <c r="H1700" s="6">
        <f t="shared" si="26"/>
        <v>10737.83</v>
      </c>
    </row>
    <row r="1701" spans="1:8" x14ac:dyDescent="0.2">
      <c r="A1701" s="2" t="s">
        <v>1775</v>
      </c>
      <c r="B1701" s="2" t="s">
        <v>1728</v>
      </c>
      <c r="C1701" s="2" t="s">
        <v>33</v>
      </c>
      <c r="D1701" s="3">
        <v>2270</v>
      </c>
      <c r="E1701" s="4" t="s">
        <v>34</v>
      </c>
      <c r="F1701" s="5">
        <v>5.8</v>
      </c>
      <c r="G1701" s="4" t="s">
        <v>35</v>
      </c>
      <c r="H1701" s="6">
        <f t="shared" si="26"/>
        <v>13166</v>
      </c>
    </row>
    <row r="1702" spans="1:8" x14ac:dyDescent="0.2">
      <c r="A1702" s="2" t="s">
        <v>1776</v>
      </c>
      <c r="B1702" s="2" t="s">
        <v>1728</v>
      </c>
      <c r="C1702" s="2" t="s">
        <v>78</v>
      </c>
      <c r="D1702" s="3">
        <v>4567</v>
      </c>
      <c r="E1702" s="4" t="s">
        <v>38</v>
      </c>
      <c r="F1702" s="5">
        <v>2.4700000000000002</v>
      </c>
      <c r="G1702" s="4" t="s">
        <v>39</v>
      </c>
      <c r="H1702" s="6">
        <f t="shared" si="26"/>
        <v>11280.490000000002</v>
      </c>
    </row>
    <row r="1703" spans="1:8" x14ac:dyDescent="0.2">
      <c r="A1703" s="2" t="s">
        <v>1777</v>
      </c>
      <c r="B1703" s="2" t="s">
        <v>1728</v>
      </c>
      <c r="C1703" s="2" t="s">
        <v>46</v>
      </c>
      <c r="D1703" s="3">
        <v>1277</v>
      </c>
      <c r="E1703" s="4" t="s">
        <v>20</v>
      </c>
      <c r="F1703" s="5">
        <v>2.19</v>
      </c>
      <c r="G1703" s="4" t="s">
        <v>21</v>
      </c>
      <c r="H1703" s="6">
        <f t="shared" si="26"/>
        <v>2796.63</v>
      </c>
    </row>
    <row r="1704" spans="1:8" x14ac:dyDescent="0.2">
      <c r="A1704" s="2" t="s">
        <v>1778</v>
      </c>
      <c r="B1704" s="2" t="s">
        <v>1728</v>
      </c>
      <c r="C1704" s="2" t="s">
        <v>23</v>
      </c>
      <c r="D1704" s="3">
        <v>2923</v>
      </c>
      <c r="E1704" s="4" t="s">
        <v>24</v>
      </c>
      <c r="F1704" s="5">
        <v>12.94</v>
      </c>
      <c r="G1704" s="4" t="s">
        <v>25</v>
      </c>
      <c r="H1704" s="6">
        <f t="shared" si="26"/>
        <v>37823.619999999995</v>
      </c>
    </row>
    <row r="1705" spans="1:8" x14ac:dyDescent="0.2">
      <c r="A1705" s="2" t="s">
        <v>1779</v>
      </c>
      <c r="B1705" s="2" t="s">
        <v>1728</v>
      </c>
      <c r="C1705" s="2" t="s">
        <v>86</v>
      </c>
      <c r="D1705" s="3">
        <v>3017</v>
      </c>
      <c r="E1705" s="4" t="s">
        <v>72</v>
      </c>
      <c r="F1705" s="5">
        <v>9045.48</v>
      </c>
      <c r="G1705" s="4" t="s">
        <v>73</v>
      </c>
      <c r="H1705" s="6">
        <f t="shared" si="26"/>
        <v>27290213.16</v>
      </c>
    </row>
    <row r="1706" spans="1:8" x14ac:dyDescent="0.2">
      <c r="A1706" s="2" t="s">
        <v>1780</v>
      </c>
      <c r="B1706" s="2" t="s">
        <v>1728</v>
      </c>
      <c r="C1706" s="2" t="s">
        <v>42</v>
      </c>
      <c r="D1706" s="3">
        <v>1918</v>
      </c>
      <c r="E1706" s="4" t="s">
        <v>24</v>
      </c>
      <c r="F1706" s="5">
        <v>4.2699999999999996</v>
      </c>
      <c r="G1706" s="4" t="s">
        <v>25</v>
      </c>
      <c r="H1706" s="6">
        <f t="shared" si="26"/>
        <v>8189.8599999999988</v>
      </c>
    </row>
    <row r="1707" spans="1:8" x14ac:dyDescent="0.2">
      <c r="A1707" s="2" t="s">
        <v>1781</v>
      </c>
      <c r="B1707" s="2" t="s">
        <v>1728</v>
      </c>
      <c r="C1707" s="2" t="s">
        <v>71</v>
      </c>
      <c r="D1707" s="3">
        <v>762</v>
      </c>
      <c r="E1707" s="4" t="s">
        <v>72</v>
      </c>
      <c r="F1707" s="5">
        <v>2742.29</v>
      </c>
      <c r="G1707" s="4" t="s">
        <v>73</v>
      </c>
      <c r="H1707" s="6">
        <f t="shared" si="26"/>
        <v>2089624.98</v>
      </c>
    </row>
    <row r="1708" spans="1:8" x14ac:dyDescent="0.2">
      <c r="A1708" s="2" t="s">
        <v>1782</v>
      </c>
      <c r="B1708" s="2" t="s">
        <v>1728</v>
      </c>
      <c r="C1708" s="2" t="s">
        <v>46</v>
      </c>
      <c r="D1708" s="3">
        <v>1791</v>
      </c>
      <c r="E1708" s="4" t="s">
        <v>20</v>
      </c>
      <c r="F1708" s="5">
        <v>3.47</v>
      </c>
      <c r="G1708" s="4" t="s">
        <v>21</v>
      </c>
      <c r="H1708" s="6">
        <f t="shared" si="26"/>
        <v>6214.77</v>
      </c>
    </row>
    <row r="1709" spans="1:8" x14ac:dyDescent="0.2">
      <c r="A1709" s="2" t="s">
        <v>1783</v>
      </c>
      <c r="B1709" s="2" t="s">
        <v>1728</v>
      </c>
      <c r="C1709" s="2" t="s">
        <v>57</v>
      </c>
      <c r="D1709" s="3">
        <v>3962</v>
      </c>
      <c r="E1709" s="4" t="s">
        <v>20</v>
      </c>
      <c r="F1709" s="5">
        <v>0.67</v>
      </c>
      <c r="G1709" s="4" t="s">
        <v>21</v>
      </c>
      <c r="H1709" s="6">
        <f t="shared" si="26"/>
        <v>2654.54</v>
      </c>
    </row>
    <row r="1710" spans="1:8" x14ac:dyDescent="0.2">
      <c r="A1710" s="2" t="s">
        <v>1784</v>
      </c>
      <c r="B1710" s="2" t="s">
        <v>1728</v>
      </c>
      <c r="C1710" s="2" t="s">
        <v>46</v>
      </c>
      <c r="D1710" s="3">
        <v>791</v>
      </c>
      <c r="E1710" s="4" t="s">
        <v>20</v>
      </c>
      <c r="F1710" s="5">
        <v>3.19</v>
      </c>
      <c r="G1710" s="4" t="s">
        <v>21</v>
      </c>
      <c r="H1710" s="6">
        <f t="shared" si="26"/>
        <v>2523.29</v>
      </c>
    </row>
    <row r="1711" spans="1:8" x14ac:dyDescent="0.2">
      <c r="A1711" s="2" t="s">
        <v>1785</v>
      </c>
      <c r="B1711" s="2" t="s">
        <v>1728</v>
      </c>
      <c r="C1711" s="2" t="s">
        <v>71</v>
      </c>
      <c r="D1711" s="3">
        <v>316</v>
      </c>
      <c r="E1711" s="4" t="s">
        <v>72</v>
      </c>
      <c r="F1711" s="5">
        <v>2838.47</v>
      </c>
      <c r="G1711" s="4" t="s">
        <v>73</v>
      </c>
      <c r="H1711" s="6">
        <f t="shared" si="26"/>
        <v>896956.5199999999</v>
      </c>
    </row>
    <row r="1712" spans="1:8" x14ac:dyDescent="0.2">
      <c r="A1712" s="2" t="s">
        <v>1786</v>
      </c>
      <c r="B1712" s="2" t="s">
        <v>1728</v>
      </c>
      <c r="C1712" s="2" t="s">
        <v>46</v>
      </c>
      <c r="D1712" s="3">
        <v>3135</v>
      </c>
      <c r="E1712" s="4" t="s">
        <v>20</v>
      </c>
      <c r="F1712" s="5">
        <v>2.16</v>
      </c>
      <c r="G1712" s="4" t="s">
        <v>21</v>
      </c>
      <c r="H1712" s="6">
        <f t="shared" si="26"/>
        <v>6771.6</v>
      </c>
    </row>
    <row r="1713" spans="1:8" x14ac:dyDescent="0.2">
      <c r="A1713" s="2" t="s">
        <v>1787</v>
      </c>
      <c r="B1713" s="2" t="s">
        <v>1728</v>
      </c>
      <c r="C1713" s="2" t="s">
        <v>37</v>
      </c>
      <c r="D1713" s="3">
        <v>2749</v>
      </c>
      <c r="E1713" s="4" t="s">
        <v>38</v>
      </c>
      <c r="F1713" s="5">
        <v>3.04</v>
      </c>
      <c r="G1713" s="4" t="s">
        <v>39</v>
      </c>
      <c r="H1713" s="6">
        <f t="shared" si="26"/>
        <v>8356.9600000000009</v>
      </c>
    </row>
    <row r="1714" spans="1:8" x14ac:dyDescent="0.2">
      <c r="A1714" s="2" t="s">
        <v>1788</v>
      </c>
      <c r="B1714" s="2" t="s">
        <v>1728</v>
      </c>
      <c r="C1714" s="2" t="s">
        <v>52</v>
      </c>
      <c r="D1714" s="3">
        <v>3422</v>
      </c>
      <c r="E1714" s="4" t="s">
        <v>53</v>
      </c>
      <c r="F1714" s="5">
        <v>13.65</v>
      </c>
      <c r="G1714" s="4" t="s">
        <v>54</v>
      </c>
      <c r="H1714" s="6">
        <f t="shared" si="26"/>
        <v>46710.3</v>
      </c>
    </row>
    <row r="1715" spans="1:8" x14ac:dyDescent="0.2">
      <c r="A1715" s="2" t="s">
        <v>1789</v>
      </c>
      <c r="B1715" s="2" t="s">
        <v>1728</v>
      </c>
      <c r="C1715" s="2" t="s">
        <v>50</v>
      </c>
      <c r="D1715" s="3">
        <v>1867</v>
      </c>
      <c r="E1715" s="4" t="s">
        <v>20</v>
      </c>
      <c r="F1715" s="5">
        <v>1.1499999999999999</v>
      </c>
      <c r="G1715" s="4" t="s">
        <v>21</v>
      </c>
      <c r="H1715" s="6">
        <f t="shared" si="26"/>
        <v>2147.0499999999997</v>
      </c>
    </row>
    <row r="1716" spans="1:8" x14ac:dyDescent="0.2">
      <c r="A1716" s="2" t="s">
        <v>1790</v>
      </c>
      <c r="B1716" s="2" t="s">
        <v>1728</v>
      </c>
      <c r="C1716" s="2" t="s">
        <v>147</v>
      </c>
      <c r="D1716" s="3">
        <v>103</v>
      </c>
      <c r="E1716" s="4" t="s">
        <v>53</v>
      </c>
      <c r="F1716" s="5">
        <v>13.07</v>
      </c>
      <c r="G1716" s="4" t="s">
        <v>54</v>
      </c>
      <c r="H1716" s="6">
        <f t="shared" si="26"/>
        <v>1346.21</v>
      </c>
    </row>
    <row r="1717" spans="1:8" x14ac:dyDescent="0.2">
      <c r="A1717" s="2" t="s">
        <v>1791</v>
      </c>
      <c r="B1717" s="2" t="s">
        <v>1728</v>
      </c>
      <c r="C1717" s="2" t="s">
        <v>67</v>
      </c>
      <c r="D1717" s="3">
        <v>453</v>
      </c>
      <c r="E1717" s="4" t="s">
        <v>24</v>
      </c>
      <c r="F1717" s="5">
        <v>0.39</v>
      </c>
      <c r="G1717" s="4" t="s">
        <v>25</v>
      </c>
      <c r="H1717" s="6">
        <f t="shared" si="26"/>
        <v>176.67000000000002</v>
      </c>
    </row>
    <row r="1718" spans="1:8" x14ac:dyDescent="0.2">
      <c r="A1718" s="2" t="s">
        <v>1792</v>
      </c>
      <c r="B1718" s="2" t="s">
        <v>1728</v>
      </c>
      <c r="C1718" s="2" t="s">
        <v>37</v>
      </c>
      <c r="D1718" s="3">
        <v>2625</v>
      </c>
      <c r="E1718" s="4" t="s">
        <v>38</v>
      </c>
      <c r="F1718" s="5">
        <v>3.62</v>
      </c>
      <c r="G1718" s="4" t="s">
        <v>39</v>
      </c>
      <c r="H1718" s="6">
        <f t="shared" si="26"/>
        <v>9502.5</v>
      </c>
    </row>
    <row r="1719" spans="1:8" x14ac:dyDescent="0.2">
      <c r="A1719" s="2" t="s">
        <v>1793</v>
      </c>
      <c r="B1719" s="2" t="s">
        <v>1728</v>
      </c>
      <c r="C1719" s="2" t="s">
        <v>89</v>
      </c>
      <c r="D1719" s="3">
        <v>2687</v>
      </c>
      <c r="E1719" s="4" t="s">
        <v>30</v>
      </c>
      <c r="F1719" s="5">
        <v>2.4</v>
      </c>
      <c r="G1719" s="4" t="s">
        <v>31</v>
      </c>
      <c r="H1719" s="6">
        <f t="shared" si="26"/>
        <v>6448.8</v>
      </c>
    </row>
    <row r="1720" spans="1:8" x14ac:dyDescent="0.2">
      <c r="A1720" s="2" t="s">
        <v>1794</v>
      </c>
      <c r="B1720" s="2" t="s">
        <v>1728</v>
      </c>
      <c r="C1720" s="2" t="s">
        <v>42</v>
      </c>
      <c r="D1720" s="3">
        <v>1264</v>
      </c>
      <c r="E1720" s="4" t="s">
        <v>24</v>
      </c>
      <c r="F1720" s="5">
        <v>3.65</v>
      </c>
      <c r="G1720" s="4" t="s">
        <v>25</v>
      </c>
      <c r="H1720" s="6">
        <f t="shared" si="26"/>
        <v>4613.5999999999995</v>
      </c>
    </row>
    <row r="1721" spans="1:8" x14ac:dyDescent="0.2">
      <c r="A1721" s="2" t="s">
        <v>1795</v>
      </c>
      <c r="B1721" s="2" t="s">
        <v>1728</v>
      </c>
      <c r="C1721" s="2" t="s">
        <v>67</v>
      </c>
      <c r="D1721" s="3">
        <v>3660</v>
      </c>
      <c r="E1721" s="4" t="s">
        <v>24</v>
      </c>
      <c r="F1721" s="5">
        <v>0.53</v>
      </c>
      <c r="G1721" s="4" t="s">
        <v>25</v>
      </c>
      <c r="H1721" s="6">
        <f t="shared" si="26"/>
        <v>1939.8000000000002</v>
      </c>
    </row>
    <row r="1722" spans="1:8" x14ac:dyDescent="0.2">
      <c r="A1722" s="2" t="s">
        <v>1796</v>
      </c>
      <c r="B1722" s="2" t="s">
        <v>1728</v>
      </c>
      <c r="C1722" s="2" t="s">
        <v>46</v>
      </c>
      <c r="D1722" s="3">
        <v>4144</v>
      </c>
      <c r="E1722" s="4" t="s">
        <v>20</v>
      </c>
      <c r="F1722" s="5">
        <v>2.1800000000000002</v>
      </c>
      <c r="G1722" s="4" t="s">
        <v>21</v>
      </c>
      <c r="H1722" s="6">
        <f t="shared" si="26"/>
        <v>9033.92</v>
      </c>
    </row>
    <row r="1723" spans="1:8" x14ac:dyDescent="0.2">
      <c r="A1723" s="2" t="s">
        <v>1797</v>
      </c>
      <c r="B1723" s="2" t="s">
        <v>1728</v>
      </c>
      <c r="C1723" s="2" t="s">
        <v>52</v>
      </c>
      <c r="D1723" s="3">
        <v>2383</v>
      </c>
      <c r="E1723" s="4" t="s">
        <v>53</v>
      </c>
      <c r="F1723" s="5">
        <v>12.93</v>
      </c>
      <c r="G1723" s="4" t="s">
        <v>54</v>
      </c>
      <c r="H1723" s="6">
        <f t="shared" si="26"/>
        <v>30812.19</v>
      </c>
    </row>
    <row r="1724" spans="1:8" x14ac:dyDescent="0.2">
      <c r="A1724" s="2" t="s">
        <v>1798</v>
      </c>
      <c r="B1724" s="2" t="s">
        <v>1728</v>
      </c>
      <c r="C1724" s="2" t="s">
        <v>89</v>
      </c>
      <c r="D1724" s="3">
        <v>1092</v>
      </c>
      <c r="E1724" s="4" t="s">
        <v>30</v>
      </c>
      <c r="F1724" s="5">
        <v>2.2000000000000002</v>
      </c>
      <c r="G1724" s="4" t="s">
        <v>31</v>
      </c>
      <c r="H1724" s="6">
        <f t="shared" si="26"/>
        <v>2402.4</v>
      </c>
    </row>
    <row r="1725" spans="1:8" x14ac:dyDescent="0.2">
      <c r="A1725" s="2" t="s">
        <v>1799</v>
      </c>
      <c r="B1725" s="2" t="s">
        <v>1728</v>
      </c>
      <c r="C1725" s="2" t="s">
        <v>48</v>
      </c>
      <c r="D1725" s="3">
        <v>4691</v>
      </c>
      <c r="E1725" s="4" t="s">
        <v>24</v>
      </c>
      <c r="F1725" s="5">
        <v>0.16</v>
      </c>
      <c r="G1725" s="4" t="s">
        <v>25</v>
      </c>
      <c r="H1725" s="6">
        <f t="shared" si="26"/>
        <v>750.56000000000006</v>
      </c>
    </row>
    <row r="1726" spans="1:8" x14ac:dyDescent="0.2">
      <c r="A1726" s="2" t="s">
        <v>1800</v>
      </c>
      <c r="B1726" s="2" t="s">
        <v>1728</v>
      </c>
      <c r="C1726" s="2" t="s">
        <v>29</v>
      </c>
      <c r="D1726" s="3">
        <v>3280</v>
      </c>
      <c r="E1726" s="4" t="s">
        <v>30</v>
      </c>
      <c r="F1726" s="5">
        <v>1.32</v>
      </c>
      <c r="G1726" s="4" t="s">
        <v>31</v>
      </c>
      <c r="H1726" s="6">
        <f t="shared" si="26"/>
        <v>4329.6000000000004</v>
      </c>
    </row>
    <row r="1727" spans="1:8" x14ac:dyDescent="0.2">
      <c r="A1727" s="2" t="s">
        <v>1801</v>
      </c>
      <c r="B1727" s="2" t="s">
        <v>1728</v>
      </c>
      <c r="C1727" s="2" t="s">
        <v>67</v>
      </c>
      <c r="D1727" s="3">
        <v>4120</v>
      </c>
      <c r="E1727" s="4" t="s">
        <v>24</v>
      </c>
      <c r="F1727" s="5">
        <v>0.43</v>
      </c>
      <c r="G1727" s="4" t="s">
        <v>25</v>
      </c>
      <c r="H1727" s="6">
        <f t="shared" si="26"/>
        <v>1771.6</v>
      </c>
    </row>
    <row r="1728" spans="1:8" x14ac:dyDescent="0.2">
      <c r="A1728" s="2" t="s">
        <v>1802</v>
      </c>
      <c r="B1728" s="2" t="s">
        <v>1728</v>
      </c>
      <c r="C1728" s="2" t="s">
        <v>89</v>
      </c>
      <c r="D1728" s="3">
        <v>1114</v>
      </c>
      <c r="E1728" s="4" t="s">
        <v>30</v>
      </c>
      <c r="F1728" s="5">
        <v>2.38</v>
      </c>
      <c r="G1728" s="4" t="s">
        <v>31</v>
      </c>
      <c r="H1728" s="6">
        <f t="shared" si="26"/>
        <v>2651.3199999999997</v>
      </c>
    </row>
    <row r="1729" spans="1:8" x14ac:dyDescent="0.2">
      <c r="A1729" s="2" t="s">
        <v>1803</v>
      </c>
      <c r="B1729" s="2" t="s">
        <v>1728</v>
      </c>
      <c r="C1729" s="2" t="s">
        <v>44</v>
      </c>
      <c r="D1729" s="3">
        <v>4006</v>
      </c>
      <c r="E1729" s="4" t="s">
        <v>24</v>
      </c>
      <c r="F1729" s="5">
        <v>1.18</v>
      </c>
      <c r="G1729" s="4" t="s">
        <v>25</v>
      </c>
      <c r="H1729" s="6">
        <f t="shared" si="26"/>
        <v>4727.08</v>
      </c>
    </row>
    <row r="1730" spans="1:8" x14ac:dyDescent="0.2">
      <c r="A1730" s="2" t="s">
        <v>1804</v>
      </c>
      <c r="B1730" s="2" t="s">
        <v>1728</v>
      </c>
      <c r="C1730" s="2" t="s">
        <v>46</v>
      </c>
      <c r="D1730" s="3">
        <v>1616</v>
      </c>
      <c r="E1730" s="4" t="s">
        <v>20</v>
      </c>
      <c r="F1730" s="5">
        <v>3.12</v>
      </c>
      <c r="G1730" s="4" t="s">
        <v>21</v>
      </c>
      <c r="H1730" s="6">
        <f t="shared" ref="H1730:H1793" si="27">D1730*F1730</f>
        <v>5041.92</v>
      </c>
    </row>
    <row r="1731" spans="1:8" x14ac:dyDescent="0.2">
      <c r="A1731" s="2" t="s">
        <v>1805</v>
      </c>
      <c r="B1731" s="2" t="s">
        <v>1728</v>
      </c>
      <c r="C1731" s="2" t="s">
        <v>78</v>
      </c>
      <c r="D1731" s="3">
        <v>2027</v>
      </c>
      <c r="E1731" s="4" t="s">
        <v>38</v>
      </c>
      <c r="F1731" s="5">
        <v>1.91</v>
      </c>
      <c r="G1731" s="4" t="s">
        <v>39</v>
      </c>
      <c r="H1731" s="6">
        <f t="shared" si="27"/>
        <v>3871.5699999999997</v>
      </c>
    </row>
    <row r="1732" spans="1:8" x14ac:dyDescent="0.2">
      <c r="A1732" s="2" t="s">
        <v>1806</v>
      </c>
      <c r="B1732" s="2" t="s">
        <v>1728</v>
      </c>
      <c r="C1732" s="2" t="s">
        <v>86</v>
      </c>
      <c r="D1732" s="3">
        <v>3533</v>
      </c>
      <c r="E1732" s="4" t="s">
        <v>72</v>
      </c>
      <c r="F1732" s="5">
        <v>8252.7800000000007</v>
      </c>
      <c r="G1732" s="4" t="s">
        <v>73</v>
      </c>
      <c r="H1732" s="6">
        <f t="shared" si="27"/>
        <v>29157071.740000002</v>
      </c>
    </row>
    <row r="1733" spans="1:8" x14ac:dyDescent="0.2">
      <c r="A1733" s="2" t="s">
        <v>1807</v>
      </c>
      <c r="B1733" s="2" t="s">
        <v>1728</v>
      </c>
      <c r="C1733" s="2" t="s">
        <v>46</v>
      </c>
      <c r="D1733" s="3">
        <v>743</v>
      </c>
      <c r="E1733" s="4" t="s">
        <v>20</v>
      </c>
      <c r="F1733" s="5">
        <v>2.23</v>
      </c>
      <c r="G1733" s="4" t="s">
        <v>21</v>
      </c>
      <c r="H1733" s="6">
        <f t="shared" si="27"/>
        <v>1656.89</v>
      </c>
    </row>
    <row r="1734" spans="1:8" x14ac:dyDescent="0.2">
      <c r="A1734" s="2" t="s">
        <v>1808</v>
      </c>
      <c r="B1734" s="2" t="s">
        <v>1728</v>
      </c>
      <c r="C1734" s="2" t="s">
        <v>52</v>
      </c>
      <c r="D1734" s="3">
        <v>3479</v>
      </c>
      <c r="E1734" s="4" t="s">
        <v>53</v>
      </c>
      <c r="F1734" s="5">
        <v>10.83</v>
      </c>
      <c r="G1734" s="4" t="s">
        <v>54</v>
      </c>
      <c r="H1734" s="6">
        <f t="shared" si="27"/>
        <v>37677.57</v>
      </c>
    </row>
    <row r="1735" spans="1:8" x14ac:dyDescent="0.2">
      <c r="A1735" s="2" t="s">
        <v>1809</v>
      </c>
      <c r="B1735" s="2" t="s">
        <v>1728</v>
      </c>
      <c r="C1735" s="2" t="s">
        <v>44</v>
      </c>
      <c r="D1735" s="3">
        <v>2637</v>
      </c>
      <c r="E1735" s="4" t="s">
        <v>24</v>
      </c>
      <c r="F1735" s="5">
        <v>1.1399999999999999</v>
      </c>
      <c r="G1735" s="4" t="s">
        <v>25</v>
      </c>
      <c r="H1735" s="6">
        <f t="shared" si="27"/>
        <v>3006.18</v>
      </c>
    </row>
    <row r="1736" spans="1:8" x14ac:dyDescent="0.2">
      <c r="A1736" s="2" t="s">
        <v>1810</v>
      </c>
      <c r="B1736" s="2" t="s">
        <v>1728</v>
      </c>
      <c r="C1736" s="2" t="s">
        <v>33</v>
      </c>
      <c r="D1736" s="3">
        <v>2507</v>
      </c>
      <c r="E1736" s="4" t="s">
        <v>34</v>
      </c>
      <c r="F1736" s="5">
        <v>3.92</v>
      </c>
      <c r="G1736" s="4" t="s">
        <v>35</v>
      </c>
      <c r="H1736" s="6">
        <f t="shared" si="27"/>
        <v>9827.44</v>
      </c>
    </row>
    <row r="1737" spans="1:8" x14ac:dyDescent="0.2">
      <c r="A1737" s="2" t="s">
        <v>1811</v>
      </c>
      <c r="B1737" s="2" t="s">
        <v>1728</v>
      </c>
      <c r="C1737" s="2" t="s">
        <v>19</v>
      </c>
      <c r="D1737" s="3">
        <v>3632</v>
      </c>
      <c r="E1737" s="4" t="s">
        <v>20</v>
      </c>
      <c r="F1737" s="5">
        <v>1.47</v>
      </c>
      <c r="G1737" s="4" t="s">
        <v>21</v>
      </c>
      <c r="H1737" s="6">
        <f t="shared" si="27"/>
        <v>5339.04</v>
      </c>
    </row>
    <row r="1738" spans="1:8" x14ac:dyDescent="0.2">
      <c r="A1738" s="2" t="s">
        <v>1812</v>
      </c>
      <c r="B1738" s="2" t="s">
        <v>1728</v>
      </c>
      <c r="C1738" s="2" t="s">
        <v>23</v>
      </c>
      <c r="D1738" s="3">
        <v>377</v>
      </c>
      <c r="E1738" s="4" t="s">
        <v>24</v>
      </c>
      <c r="F1738" s="5">
        <v>17.55</v>
      </c>
      <c r="G1738" s="4" t="s">
        <v>25</v>
      </c>
      <c r="H1738" s="6">
        <f t="shared" si="27"/>
        <v>6616.35</v>
      </c>
    </row>
    <row r="1739" spans="1:8" x14ac:dyDescent="0.2">
      <c r="A1739" s="2" t="s">
        <v>1813</v>
      </c>
      <c r="B1739" s="2" t="s">
        <v>1728</v>
      </c>
      <c r="C1739" s="2" t="s">
        <v>42</v>
      </c>
      <c r="D1739" s="3">
        <v>1645</v>
      </c>
      <c r="E1739" s="4" t="s">
        <v>24</v>
      </c>
      <c r="F1739" s="5">
        <v>5.56</v>
      </c>
      <c r="G1739" s="4" t="s">
        <v>25</v>
      </c>
      <c r="H1739" s="6">
        <f t="shared" si="27"/>
        <v>9146.1999999999989</v>
      </c>
    </row>
    <row r="1740" spans="1:8" x14ac:dyDescent="0.2">
      <c r="A1740" s="2" t="s">
        <v>1814</v>
      </c>
      <c r="B1740" s="2" t="s">
        <v>1728</v>
      </c>
      <c r="C1740" s="2" t="s">
        <v>89</v>
      </c>
      <c r="D1740" s="3">
        <v>712</v>
      </c>
      <c r="E1740" s="4" t="s">
        <v>30</v>
      </c>
      <c r="F1740" s="5">
        <v>1.93</v>
      </c>
      <c r="G1740" s="4" t="s">
        <v>31</v>
      </c>
      <c r="H1740" s="6">
        <f t="shared" si="27"/>
        <v>1374.1599999999999</v>
      </c>
    </row>
    <row r="1741" spans="1:8" x14ac:dyDescent="0.2">
      <c r="A1741" s="2" t="s">
        <v>1815</v>
      </c>
      <c r="B1741" s="2" t="s">
        <v>1728</v>
      </c>
      <c r="C1741" s="2" t="s">
        <v>37</v>
      </c>
      <c r="D1741" s="3">
        <v>2001</v>
      </c>
      <c r="E1741" s="4" t="s">
        <v>38</v>
      </c>
      <c r="F1741" s="5">
        <v>4.8499999999999996</v>
      </c>
      <c r="G1741" s="4" t="s">
        <v>39</v>
      </c>
      <c r="H1741" s="6">
        <f t="shared" si="27"/>
        <v>9704.8499999999985</v>
      </c>
    </row>
    <row r="1742" spans="1:8" x14ac:dyDescent="0.2">
      <c r="A1742" s="2" t="s">
        <v>1816</v>
      </c>
      <c r="B1742" s="2" t="s">
        <v>1728</v>
      </c>
      <c r="C1742" s="2" t="s">
        <v>89</v>
      </c>
      <c r="D1742" s="3">
        <v>2366</v>
      </c>
      <c r="E1742" s="4" t="s">
        <v>30</v>
      </c>
      <c r="F1742" s="5">
        <v>1.82</v>
      </c>
      <c r="G1742" s="4" t="s">
        <v>31</v>
      </c>
      <c r="H1742" s="6">
        <f t="shared" si="27"/>
        <v>4306.12</v>
      </c>
    </row>
    <row r="1743" spans="1:8" x14ac:dyDescent="0.2">
      <c r="A1743" s="2" t="s">
        <v>1817</v>
      </c>
      <c r="B1743" s="2" t="s">
        <v>1728</v>
      </c>
      <c r="C1743" s="2" t="s">
        <v>50</v>
      </c>
      <c r="D1743" s="3">
        <v>2509</v>
      </c>
      <c r="E1743" s="4" t="s">
        <v>20</v>
      </c>
      <c r="F1743" s="5">
        <v>0.97</v>
      </c>
      <c r="G1743" s="4" t="s">
        <v>21</v>
      </c>
      <c r="H1743" s="6">
        <f t="shared" si="27"/>
        <v>2433.73</v>
      </c>
    </row>
    <row r="1744" spans="1:8" x14ac:dyDescent="0.2">
      <c r="A1744" s="2" t="s">
        <v>1818</v>
      </c>
      <c r="B1744" s="2" t="s">
        <v>1728</v>
      </c>
      <c r="C1744" s="2" t="s">
        <v>33</v>
      </c>
      <c r="D1744" s="3">
        <v>2728</v>
      </c>
      <c r="E1744" s="4" t="s">
        <v>34</v>
      </c>
      <c r="F1744" s="5">
        <v>4.0199999999999996</v>
      </c>
      <c r="G1744" s="4" t="s">
        <v>35</v>
      </c>
      <c r="H1744" s="6">
        <f t="shared" si="27"/>
        <v>10966.56</v>
      </c>
    </row>
    <row r="1745" spans="1:8" x14ac:dyDescent="0.2">
      <c r="A1745" s="2" t="s">
        <v>1819</v>
      </c>
      <c r="B1745" s="2" t="s">
        <v>1728</v>
      </c>
      <c r="C1745" s="2" t="s">
        <v>29</v>
      </c>
      <c r="D1745" s="3">
        <v>1745</v>
      </c>
      <c r="E1745" s="4" t="s">
        <v>30</v>
      </c>
      <c r="F1745" s="5">
        <v>1.24</v>
      </c>
      <c r="G1745" s="4" t="s">
        <v>31</v>
      </c>
      <c r="H1745" s="6">
        <f t="shared" si="27"/>
        <v>2163.8000000000002</v>
      </c>
    </row>
    <row r="1746" spans="1:8" x14ac:dyDescent="0.2">
      <c r="A1746" s="2" t="s">
        <v>1820</v>
      </c>
      <c r="B1746" s="2" t="s">
        <v>1728</v>
      </c>
      <c r="C1746" s="2" t="s">
        <v>78</v>
      </c>
      <c r="D1746" s="3">
        <v>2128</v>
      </c>
      <c r="E1746" s="4" t="s">
        <v>38</v>
      </c>
      <c r="F1746" s="5">
        <v>2.4300000000000002</v>
      </c>
      <c r="G1746" s="4" t="s">
        <v>39</v>
      </c>
      <c r="H1746" s="6">
        <f t="shared" si="27"/>
        <v>5171.04</v>
      </c>
    </row>
    <row r="1747" spans="1:8" x14ac:dyDescent="0.2">
      <c r="A1747" s="2" t="s">
        <v>1821</v>
      </c>
      <c r="B1747" s="2" t="s">
        <v>1728</v>
      </c>
      <c r="C1747" s="2" t="s">
        <v>147</v>
      </c>
      <c r="D1747" s="3">
        <v>1167</v>
      </c>
      <c r="E1747" s="4" t="s">
        <v>53</v>
      </c>
      <c r="F1747" s="5">
        <v>13.56</v>
      </c>
      <c r="G1747" s="4" t="s">
        <v>54</v>
      </c>
      <c r="H1747" s="6">
        <f t="shared" si="27"/>
        <v>15824.52</v>
      </c>
    </row>
    <row r="1748" spans="1:8" x14ac:dyDescent="0.2">
      <c r="A1748" s="2" t="s">
        <v>1822</v>
      </c>
      <c r="B1748" s="2" t="s">
        <v>1728</v>
      </c>
      <c r="C1748" s="2" t="s">
        <v>33</v>
      </c>
      <c r="D1748" s="3">
        <v>3095</v>
      </c>
      <c r="E1748" s="4" t="s">
        <v>34</v>
      </c>
      <c r="F1748" s="5">
        <v>4.96</v>
      </c>
      <c r="G1748" s="4" t="s">
        <v>35</v>
      </c>
      <c r="H1748" s="6">
        <f t="shared" si="27"/>
        <v>15351.2</v>
      </c>
    </row>
    <row r="1749" spans="1:8" x14ac:dyDescent="0.2">
      <c r="A1749" s="2" t="s">
        <v>1823</v>
      </c>
      <c r="B1749" s="2" t="s">
        <v>1728</v>
      </c>
      <c r="C1749" s="2" t="s">
        <v>78</v>
      </c>
      <c r="D1749" s="3">
        <v>366</v>
      </c>
      <c r="E1749" s="4" t="s">
        <v>38</v>
      </c>
      <c r="F1749" s="5">
        <v>1.93</v>
      </c>
      <c r="G1749" s="4" t="s">
        <v>39</v>
      </c>
      <c r="H1749" s="6">
        <f t="shared" si="27"/>
        <v>706.38</v>
      </c>
    </row>
    <row r="1750" spans="1:8" x14ac:dyDescent="0.2">
      <c r="A1750" s="2" t="s">
        <v>1824</v>
      </c>
      <c r="B1750" s="2" t="s">
        <v>1728</v>
      </c>
      <c r="C1750" s="2" t="s">
        <v>37</v>
      </c>
      <c r="D1750" s="3">
        <v>2336</v>
      </c>
      <c r="E1750" s="4" t="s">
        <v>38</v>
      </c>
      <c r="F1750" s="5">
        <v>2.6</v>
      </c>
      <c r="G1750" s="4" t="s">
        <v>39</v>
      </c>
      <c r="H1750" s="6">
        <f t="shared" si="27"/>
        <v>6073.6</v>
      </c>
    </row>
    <row r="1751" spans="1:8" x14ac:dyDescent="0.2">
      <c r="A1751" s="2" t="s">
        <v>1825</v>
      </c>
      <c r="B1751" s="2" t="s">
        <v>1728</v>
      </c>
      <c r="C1751" s="2" t="s">
        <v>147</v>
      </c>
      <c r="D1751" s="3">
        <v>2232</v>
      </c>
      <c r="E1751" s="4" t="s">
        <v>53</v>
      </c>
      <c r="F1751" s="5">
        <v>8.42</v>
      </c>
      <c r="G1751" s="4" t="s">
        <v>54</v>
      </c>
      <c r="H1751" s="6">
        <f t="shared" si="27"/>
        <v>18793.439999999999</v>
      </c>
    </row>
    <row r="1752" spans="1:8" x14ac:dyDescent="0.2">
      <c r="A1752" s="2" t="s">
        <v>1826</v>
      </c>
      <c r="B1752" s="2" t="s">
        <v>1728</v>
      </c>
      <c r="C1752" s="2" t="s">
        <v>33</v>
      </c>
      <c r="D1752" s="3">
        <v>555</v>
      </c>
      <c r="E1752" s="4" t="s">
        <v>34</v>
      </c>
      <c r="F1752" s="5">
        <v>4.47</v>
      </c>
      <c r="G1752" s="4" t="s">
        <v>35</v>
      </c>
      <c r="H1752" s="6">
        <f t="shared" si="27"/>
        <v>2480.85</v>
      </c>
    </row>
    <row r="1753" spans="1:8" x14ac:dyDescent="0.2">
      <c r="A1753" s="2" t="s">
        <v>1827</v>
      </c>
      <c r="B1753" s="2" t="s">
        <v>1728</v>
      </c>
      <c r="C1753" s="2" t="s">
        <v>86</v>
      </c>
      <c r="D1753" s="3">
        <v>2960</v>
      </c>
      <c r="E1753" s="4" t="s">
        <v>72</v>
      </c>
      <c r="F1753" s="5">
        <v>9010</v>
      </c>
      <c r="G1753" s="4" t="s">
        <v>73</v>
      </c>
      <c r="H1753" s="6">
        <f t="shared" si="27"/>
        <v>26669600</v>
      </c>
    </row>
    <row r="1754" spans="1:8" x14ac:dyDescent="0.2">
      <c r="A1754" s="2" t="s">
        <v>1828</v>
      </c>
      <c r="B1754" s="2" t="s">
        <v>1728</v>
      </c>
      <c r="C1754" s="2" t="s">
        <v>33</v>
      </c>
      <c r="D1754" s="3">
        <v>2406</v>
      </c>
      <c r="E1754" s="4" t="s">
        <v>34</v>
      </c>
      <c r="F1754" s="5">
        <v>5.67</v>
      </c>
      <c r="G1754" s="4" t="s">
        <v>35</v>
      </c>
      <c r="H1754" s="6">
        <f t="shared" si="27"/>
        <v>13642.02</v>
      </c>
    </row>
    <row r="1755" spans="1:8" x14ac:dyDescent="0.2">
      <c r="A1755" s="2" t="s">
        <v>1829</v>
      </c>
      <c r="B1755" s="2" t="s">
        <v>1728</v>
      </c>
      <c r="C1755" s="2" t="s">
        <v>67</v>
      </c>
      <c r="D1755" s="3">
        <v>1903</v>
      </c>
      <c r="E1755" s="4" t="s">
        <v>24</v>
      </c>
      <c r="F1755" s="5">
        <v>0.59</v>
      </c>
      <c r="G1755" s="4" t="s">
        <v>25</v>
      </c>
      <c r="H1755" s="6">
        <f t="shared" si="27"/>
        <v>1122.77</v>
      </c>
    </row>
    <row r="1756" spans="1:8" x14ac:dyDescent="0.2">
      <c r="A1756" s="2" t="s">
        <v>1830</v>
      </c>
      <c r="B1756" s="2" t="s">
        <v>1728</v>
      </c>
      <c r="C1756" s="2" t="s">
        <v>78</v>
      </c>
      <c r="D1756" s="3">
        <v>825</v>
      </c>
      <c r="E1756" s="4" t="s">
        <v>38</v>
      </c>
      <c r="F1756" s="5">
        <v>3.04</v>
      </c>
      <c r="G1756" s="4" t="s">
        <v>39</v>
      </c>
      <c r="H1756" s="6">
        <f t="shared" si="27"/>
        <v>2508</v>
      </c>
    </row>
    <row r="1757" spans="1:8" x14ac:dyDescent="0.2">
      <c r="A1757" s="2" t="s">
        <v>1831</v>
      </c>
      <c r="B1757" s="2" t="s">
        <v>1728</v>
      </c>
      <c r="C1757" s="2" t="s">
        <v>48</v>
      </c>
      <c r="D1757" s="3">
        <v>4901</v>
      </c>
      <c r="E1757" s="4" t="s">
        <v>24</v>
      </c>
      <c r="F1757" s="5">
        <v>0.13</v>
      </c>
      <c r="G1757" s="4" t="s">
        <v>25</v>
      </c>
      <c r="H1757" s="6">
        <f t="shared" si="27"/>
        <v>637.13</v>
      </c>
    </row>
    <row r="1758" spans="1:8" x14ac:dyDescent="0.2">
      <c r="A1758" s="2" t="s">
        <v>1832</v>
      </c>
      <c r="B1758" s="2" t="s">
        <v>1728</v>
      </c>
      <c r="C1758" s="2" t="s">
        <v>118</v>
      </c>
      <c r="D1758" s="3">
        <v>1639</v>
      </c>
      <c r="E1758" s="4" t="s">
        <v>24</v>
      </c>
      <c r="F1758" s="5">
        <v>0.75</v>
      </c>
      <c r="G1758" s="4" t="s">
        <v>25</v>
      </c>
      <c r="H1758" s="6">
        <f t="shared" si="27"/>
        <v>1229.25</v>
      </c>
    </row>
    <row r="1759" spans="1:8" x14ac:dyDescent="0.2">
      <c r="A1759" s="2" t="s">
        <v>1833</v>
      </c>
      <c r="B1759" s="2" t="s">
        <v>1728</v>
      </c>
      <c r="C1759" s="2" t="s">
        <v>23</v>
      </c>
      <c r="D1759" s="3">
        <v>4603</v>
      </c>
      <c r="E1759" s="4" t="s">
        <v>24</v>
      </c>
      <c r="F1759" s="5">
        <v>17.559999999999999</v>
      </c>
      <c r="G1759" s="4" t="s">
        <v>25</v>
      </c>
      <c r="H1759" s="6">
        <f t="shared" si="27"/>
        <v>80828.679999999993</v>
      </c>
    </row>
    <row r="1760" spans="1:8" x14ac:dyDescent="0.2">
      <c r="A1760" s="2" t="s">
        <v>1834</v>
      </c>
      <c r="B1760" s="2" t="s">
        <v>1728</v>
      </c>
      <c r="C1760" s="2" t="s">
        <v>33</v>
      </c>
      <c r="D1760" s="3">
        <v>335</v>
      </c>
      <c r="E1760" s="4" t="s">
        <v>34</v>
      </c>
      <c r="F1760" s="5">
        <v>4.12</v>
      </c>
      <c r="G1760" s="4" t="s">
        <v>35</v>
      </c>
      <c r="H1760" s="6">
        <f t="shared" si="27"/>
        <v>1380.2</v>
      </c>
    </row>
    <row r="1761" spans="1:8" x14ac:dyDescent="0.2">
      <c r="A1761" s="2" t="s">
        <v>1835</v>
      </c>
      <c r="B1761" s="2" t="s">
        <v>1728</v>
      </c>
      <c r="C1761" s="2" t="s">
        <v>78</v>
      </c>
      <c r="D1761" s="3">
        <v>2507</v>
      </c>
      <c r="E1761" s="4" t="s">
        <v>38</v>
      </c>
      <c r="F1761" s="5">
        <v>2.0699999999999998</v>
      </c>
      <c r="G1761" s="4" t="s">
        <v>39</v>
      </c>
      <c r="H1761" s="6">
        <f t="shared" si="27"/>
        <v>5189.49</v>
      </c>
    </row>
    <row r="1762" spans="1:8" x14ac:dyDescent="0.2">
      <c r="A1762" s="2" t="s">
        <v>1836</v>
      </c>
      <c r="B1762" s="2" t="s">
        <v>1728</v>
      </c>
      <c r="C1762" s="2" t="s">
        <v>67</v>
      </c>
      <c r="D1762" s="3">
        <v>1296</v>
      </c>
      <c r="E1762" s="4" t="s">
        <v>24</v>
      </c>
      <c r="F1762" s="5">
        <v>0.31</v>
      </c>
      <c r="G1762" s="4" t="s">
        <v>25</v>
      </c>
      <c r="H1762" s="6">
        <f t="shared" si="27"/>
        <v>401.76</v>
      </c>
    </row>
    <row r="1763" spans="1:8" x14ac:dyDescent="0.2">
      <c r="A1763" s="2" t="s">
        <v>1837</v>
      </c>
      <c r="B1763" s="2" t="s">
        <v>1728</v>
      </c>
      <c r="C1763" s="2" t="s">
        <v>19</v>
      </c>
      <c r="D1763" s="3">
        <v>2921</v>
      </c>
      <c r="E1763" s="4" t="s">
        <v>20</v>
      </c>
      <c r="F1763" s="5">
        <v>1.48</v>
      </c>
      <c r="G1763" s="4" t="s">
        <v>21</v>
      </c>
      <c r="H1763" s="6">
        <f t="shared" si="27"/>
        <v>4323.08</v>
      </c>
    </row>
    <row r="1764" spans="1:8" x14ac:dyDescent="0.2">
      <c r="A1764" s="2" t="s">
        <v>1838</v>
      </c>
      <c r="B1764" s="2" t="s">
        <v>1728</v>
      </c>
      <c r="C1764" s="2" t="s">
        <v>42</v>
      </c>
      <c r="D1764" s="3">
        <v>4116</v>
      </c>
      <c r="E1764" s="4" t="s">
        <v>24</v>
      </c>
      <c r="F1764" s="5">
        <v>4.33</v>
      </c>
      <c r="G1764" s="4" t="s">
        <v>25</v>
      </c>
      <c r="H1764" s="6">
        <f t="shared" si="27"/>
        <v>17822.28</v>
      </c>
    </row>
    <row r="1765" spans="1:8" x14ac:dyDescent="0.2">
      <c r="A1765" s="2" t="s">
        <v>1839</v>
      </c>
      <c r="B1765" s="2" t="s">
        <v>1728</v>
      </c>
      <c r="C1765" s="2" t="s">
        <v>37</v>
      </c>
      <c r="D1765" s="3">
        <v>2120</v>
      </c>
      <c r="E1765" s="4" t="s">
        <v>38</v>
      </c>
      <c r="F1765" s="5">
        <v>4.6399999999999997</v>
      </c>
      <c r="G1765" s="4" t="s">
        <v>39</v>
      </c>
      <c r="H1765" s="6">
        <f t="shared" si="27"/>
        <v>9836.7999999999993</v>
      </c>
    </row>
    <row r="1766" spans="1:8" x14ac:dyDescent="0.2">
      <c r="A1766" s="2" t="s">
        <v>1840</v>
      </c>
      <c r="B1766" s="2" t="s">
        <v>1728</v>
      </c>
      <c r="C1766" s="2" t="s">
        <v>33</v>
      </c>
      <c r="D1766" s="3">
        <v>4556</v>
      </c>
      <c r="E1766" s="4" t="s">
        <v>34</v>
      </c>
      <c r="F1766" s="5">
        <v>5.87</v>
      </c>
      <c r="G1766" s="4" t="s">
        <v>35</v>
      </c>
      <c r="H1766" s="6">
        <f t="shared" si="27"/>
        <v>26743.72</v>
      </c>
    </row>
    <row r="1767" spans="1:8" x14ac:dyDescent="0.2">
      <c r="A1767" s="2" t="s">
        <v>1841</v>
      </c>
      <c r="B1767" s="2" t="s">
        <v>1728</v>
      </c>
      <c r="C1767" s="2" t="s">
        <v>42</v>
      </c>
      <c r="D1767" s="3">
        <v>1252</v>
      </c>
      <c r="E1767" s="4" t="s">
        <v>24</v>
      </c>
      <c r="F1767" s="5">
        <v>4.53</v>
      </c>
      <c r="G1767" s="4" t="s">
        <v>25</v>
      </c>
      <c r="H1767" s="6">
        <f t="shared" si="27"/>
        <v>5671.56</v>
      </c>
    </row>
    <row r="1768" spans="1:8" x14ac:dyDescent="0.2">
      <c r="A1768" s="2" t="s">
        <v>1842</v>
      </c>
      <c r="B1768" s="2" t="s">
        <v>1728</v>
      </c>
      <c r="C1768" s="2" t="s">
        <v>67</v>
      </c>
      <c r="D1768" s="3">
        <v>1134</v>
      </c>
      <c r="E1768" s="4" t="s">
        <v>24</v>
      </c>
      <c r="F1768" s="5">
        <v>0.33</v>
      </c>
      <c r="G1768" s="4" t="s">
        <v>25</v>
      </c>
      <c r="H1768" s="6">
        <f t="shared" si="27"/>
        <v>374.22</v>
      </c>
    </row>
    <row r="1769" spans="1:8" x14ac:dyDescent="0.2">
      <c r="A1769" s="2" t="s">
        <v>1843</v>
      </c>
      <c r="B1769" s="2" t="s">
        <v>1728</v>
      </c>
      <c r="C1769" s="2" t="s">
        <v>67</v>
      </c>
      <c r="D1769" s="3">
        <v>4275</v>
      </c>
      <c r="E1769" s="4" t="s">
        <v>24</v>
      </c>
      <c r="F1769" s="5">
        <v>0.59</v>
      </c>
      <c r="G1769" s="4" t="s">
        <v>25</v>
      </c>
      <c r="H1769" s="6">
        <f t="shared" si="27"/>
        <v>2522.25</v>
      </c>
    </row>
    <row r="1770" spans="1:8" x14ac:dyDescent="0.2">
      <c r="A1770" s="2" t="s">
        <v>1844</v>
      </c>
      <c r="B1770" s="2" t="s">
        <v>1845</v>
      </c>
      <c r="C1770" s="2" t="s">
        <v>147</v>
      </c>
      <c r="D1770" s="3">
        <v>1873</v>
      </c>
      <c r="E1770" s="4" t="s">
        <v>53</v>
      </c>
      <c r="F1770" s="5">
        <v>11.34</v>
      </c>
      <c r="G1770" s="4" t="s">
        <v>54</v>
      </c>
      <c r="H1770" s="6">
        <f t="shared" si="27"/>
        <v>21239.82</v>
      </c>
    </row>
    <row r="1771" spans="1:8" x14ac:dyDescent="0.2">
      <c r="A1771" s="2" t="s">
        <v>1846</v>
      </c>
      <c r="B1771" s="2" t="s">
        <v>1845</v>
      </c>
      <c r="C1771" s="2" t="s">
        <v>46</v>
      </c>
      <c r="D1771" s="3">
        <v>1261</v>
      </c>
      <c r="E1771" s="4" t="s">
        <v>20</v>
      </c>
      <c r="F1771" s="5">
        <v>2.85</v>
      </c>
      <c r="G1771" s="4" t="s">
        <v>21</v>
      </c>
      <c r="H1771" s="6">
        <f t="shared" si="27"/>
        <v>3593.85</v>
      </c>
    </row>
    <row r="1772" spans="1:8" x14ac:dyDescent="0.2">
      <c r="A1772" s="2" t="s">
        <v>1847</v>
      </c>
      <c r="B1772" s="2" t="s">
        <v>1845</v>
      </c>
      <c r="C1772" s="2" t="s">
        <v>71</v>
      </c>
      <c r="D1772" s="3">
        <v>4969</v>
      </c>
      <c r="E1772" s="4" t="s">
        <v>72</v>
      </c>
      <c r="F1772" s="5">
        <v>2597.5700000000002</v>
      </c>
      <c r="G1772" s="4" t="s">
        <v>73</v>
      </c>
      <c r="H1772" s="6">
        <f t="shared" si="27"/>
        <v>12907325.33</v>
      </c>
    </row>
    <row r="1773" spans="1:8" x14ac:dyDescent="0.2">
      <c r="A1773" s="2" t="s">
        <v>1848</v>
      </c>
      <c r="B1773" s="2" t="s">
        <v>1845</v>
      </c>
      <c r="C1773" s="2" t="s">
        <v>29</v>
      </c>
      <c r="D1773" s="3">
        <v>1089</v>
      </c>
      <c r="E1773" s="4" t="s">
        <v>30</v>
      </c>
      <c r="F1773" s="5">
        <v>1.25</v>
      </c>
      <c r="G1773" s="4" t="s">
        <v>31</v>
      </c>
      <c r="H1773" s="6">
        <f t="shared" si="27"/>
        <v>1361.25</v>
      </c>
    </row>
    <row r="1774" spans="1:8" x14ac:dyDescent="0.2">
      <c r="A1774" s="2" t="s">
        <v>1849</v>
      </c>
      <c r="B1774" s="2" t="s">
        <v>1845</v>
      </c>
      <c r="C1774" s="2" t="s">
        <v>89</v>
      </c>
      <c r="D1774" s="3">
        <v>4769</v>
      </c>
      <c r="E1774" s="4" t="s">
        <v>30</v>
      </c>
      <c r="F1774" s="5">
        <v>2.4500000000000002</v>
      </c>
      <c r="G1774" s="4" t="s">
        <v>31</v>
      </c>
      <c r="H1774" s="6">
        <f t="shared" si="27"/>
        <v>11684.050000000001</v>
      </c>
    </row>
    <row r="1775" spans="1:8" x14ac:dyDescent="0.2">
      <c r="A1775" s="2" t="s">
        <v>1850</v>
      </c>
      <c r="B1775" s="2" t="s">
        <v>1845</v>
      </c>
      <c r="C1775" s="2" t="s">
        <v>44</v>
      </c>
      <c r="D1775" s="3">
        <v>1141</v>
      </c>
      <c r="E1775" s="4" t="s">
        <v>24</v>
      </c>
      <c r="F1775" s="5">
        <v>1.1200000000000001</v>
      </c>
      <c r="G1775" s="4" t="s">
        <v>25</v>
      </c>
      <c r="H1775" s="6">
        <f t="shared" si="27"/>
        <v>1277.92</v>
      </c>
    </row>
    <row r="1776" spans="1:8" x14ac:dyDescent="0.2">
      <c r="A1776" s="2" t="s">
        <v>1851</v>
      </c>
      <c r="B1776" s="2" t="s">
        <v>1845</v>
      </c>
      <c r="C1776" s="2" t="s">
        <v>78</v>
      </c>
      <c r="D1776" s="3">
        <v>1117</v>
      </c>
      <c r="E1776" s="4" t="s">
        <v>38</v>
      </c>
      <c r="F1776" s="5">
        <v>2.23</v>
      </c>
      <c r="G1776" s="4" t="s">
        <v>39</v>
      </c>
      <c r="H1776" s="6">
        <f t="shared" si="27"/>
        <v>2490.91</v>
      </c>
    </row>
    <row r="1777" spans="1:8" x14ac:dyDescent="0.2">
      <c r="A1777" s="2" t="s">
        <v>1852</v>
      </c>
      <c r="B1777" s="2" t="s">
        <v>1845</v>
      </c>
      <c r="C1777" s="2" t="s">
        <v>89</v>
      </c>
      <c r="D1777" s="3">
        <v>4637</v>
      </c>
      <c r="E1777" s="4" t="s">
        <v>30</v>
      </c>
      <c r="F1777" s="5">
        <v>2.9</v>
      </c>
      <c r="G1777" s="4" t="s">
        <v>31</v>
      </c>
      <c r="H1777" s="6">
        <f t="shared" si="27"/>
        <v>13447.3</v>
      </c>
    </row>
    <row r="1778" spans="1:8" x14ac:dyDescent="0.2">
      <c r="A1778" s="2" t="s">
        <v>1853</v>
      </c>
      <c r="B1778" s="2" t="s">
        <v>1845</v>
      </c>
      <c r="C1778" s="2" t="s">
        <v>57</v>
      </c>
      <c r="D1778" s="3">
        <v>565</v>
      </c>
      <c r="E1778" s="4" t="s">
        <v>20</v>
      </c>
      <c r="F1778" s="5">
        <v>0.82</v>
      </c>
      <c r="G1778" s="4" t="s">
        <v>21</v>
      </c>
      <c r="H1778" s="6">
        <f t="shared" si="27"/>
        <v>463.29999999999995</v>
      </c>
    </row>
    <row r="1779" spans="1:8" x14ac:dyDescent="0.2">
      <c r="A1779" s="2" t="s">
        <v>1854</v>
      </c>
      <c r="B1779" s="2" t="s">
        <v>1845</v>
      </c>
      <c r="C1779" s="2" t="s">
        <v>50</v>
      </c>
      <c r="D1779" s="3">
        <v>1518</v>
      </c>
      <c r="E1779" s="4" t="s">
        <v>20</v>
      </c>
      <c r="F1779" s="5">
        <v>0.89</v>
      </c>
      <c r="G1779" s="4" t="s">
        <v>21</v>
      </c>
      <c r="H1779" s="6">
        <f t="shared" si="27"/>
        <v>1351.02</v>
      </c>
    </row>
    <row r="1780" spans="1:8" x14ac:dyDescent="0.2">
      <c r="A1780" s="2" t="s">
        <v>1855</v>
      </c>
      <c r="B1780" s="2" t="s">
        <v>1845</v>
      </c>
      <c r="C1780" s="2" t="s">
        <v>89</v>
      </c>
      <c r="D1780" s="3">
        <v>251</v>
      </c>
      <c r="E1780" s="4" t="s">
        <v>30</v>
      </c>
      <c r="F1780" s="5">
        <v>2.72</v>
      </c>
      <c r="G1780" s="4" t="s">
        <v>31</v>
      </c>
      <c r="H1780" s="6">
        <f t="shared" si="27"/>
        <v>682.72</v>
      </c>
    </row>
    <row r="1781" spans="1:8" x14ac:dyDescent="0.2">
      <c r="A1781" s="2" t="s">
        <v>1856</v>
      </c>
      <c r="B1781" s="2" t="s">
        <v>1845</v>
      </c>
      <c r="C1781" s="2" t="s">
        <v>52</v>
      </c>
      <c r="D1781" s="3">
        <v>3378</v>
      </c>
      <c r="E1781" s="4" t="s">
        <v>53</v>
      </c>
      <c r="F1781" s="5">
        <v>10.52</v>
      </c>
      <c r="G1781" s="4" t="s">
        <v>54</v>
      </c>
      <c r="H1781" s="6">
        <f t="shared" si="27"/>
        <v>35536.559999999998</v>
      </c>
    </row>
    <row r="1782" spans="1:8" x14ac:dyDescent="0.2">
      <c r="A1782" s="2" t="s">
        <v>1857</v>
      </c>
      <c r="B1782" s="2" t="s">
        <v>1845</v>
      </c>
      <c r="C1782" s="2" t="s">
        <v>86</v>
      </c>
      <c r="D1782" s="3">
        <v>1254</v>
      </c>
      <c r="E1782" s="4" t="s">
        <v>72</v>
      </c>
      <c r="F1782" s="5">
        <v>8890.75</v>
      </c>
      <c r="G1782" s="4" t="s">
        <v>73</v>
      </c>
      <c r="H1782" s="6">
        <f t="shared" si="27"/>
        <v>11149000.5</v>
      </c>
    </row>
    <row r="1783" spans="1:8" x14ac:dyDescent="0.2">
      <c r="A1783" s="2" t="s">
        <v>1858</v>
      </c>
      <c r="B1783" s="2" t="s">
        <v>1845</v>
      </c>
      <c r="C1783" s="2" t="s">
        <v>50</v>
      </c>
      <c r="D1783" s="3">
        <v>1087</v>
      </c>
      <c r="E1783" s="4" t="s">
        <v>20</v>
      </c>
      <c r="F1783" s="5">
        <v>0.81</v>
      </c>
      <c r="G1783" s="4" t="s">
        <v>21</v>
      </c>
      <c r="H1783" s="6">
        <f t="shared" si="27"/>
        <v>880.47</v>
      </c>
    </row>
    <row r="1784" spans="1:8" x14ac:dyDescent="0.2">
      <c r="A1784" s="2" t="s">
        <v>1859</v>
      </c>
      <c r="B1784" s="2" t="s">
        <v>1845</v>
      </c>
      <c r="C1784" s="2" t="s">
        <v>147</v>
      </c>
      <c r="D1784" s="3">
        <v>2196</v>
      </c>
      <c r="E1784" s="4" t="s">
        <v>53</v>
      </c>
      <c r="F1784" s="5">
        <v>12.84</v>
      </c>
      <c r="G1784" s="4" t="s">
        <v>54</v>
      </c>
      <c r="H1784" s="6">
        <f t="shared" si="27"/>
        <v>28196.639999999999</v>
      </c>
    </row>
    <row r="1785" spans="1:8" x14ac:dyDescent="0.2">
      <c r="A1785" s="2" t="s">
        <v>1860</v>
      </c>
      <c r="B1785" s="2" t="s">
        <v>1845</v>
      </c>
      <c r="C1785" s="2" t="s">
        <v>147</v>
      </c>
      <c r="D1785" s="3">
        <v>1901</v>
      </c>
      <c r="E1785" s="4" t="s">
        <v>53</v>
      </c>
      <c r="F1785" s="5">
        <v>12.77</v>
      </c>
      <c r="G1785" s="4" t="s">
        <v>54</v>
      </c>
      <c r="H1785" s="6">
        <f t="shared" si="27"/>
        <v>24275.77</v>
      </c>
    </row>
    <row r="1786" spans="1:8" x14ac:dyDescent="0.2">
      <c r="A1786" s="2" t="s">
        <v>1861</v>
      </c>
      <c r="B1786" s="2" t="s">
        <v>1845</v>
      </c>
      <c r="C1786" s="2" t="s">
        <v>42</v>
      </c>
      <c r="D1786" s="3">
        <v>223</v>
      </c>
      <c r="E1786" s="4" t="s">
        <v>24</v>
      </c>
      <c r="F1786" s="5">
        <v>4.58</v>
      </c>
      <c r="G1786" s="4" t="s">
        <v>25</v>
      </c>
      <c r="H1786" s="6">
        <f t="shared" si="27"/>
        <v>1021.34</v>
      </c>
    </row>
    <row r="1787" spans="1:8" x14ac:dyDescent="0.2">
      <c r="A1787" s="2" t="s">
        <v>1862</v>
      </c>
      <c r="B1787" s="2" t="s">
        <v>1845</v>
      </c>
      <c r="C1787" s="2" t="s">
        <v>48</v>
      </c>
      <c r="D1787" s="3">
        <v>1108</v>
      </c>
      <c r="E1787" s="4" t="s">
        <v>24</v>
      </c>
      <c r="F1787" s="5">
        <v>0.13</v>
      </c>
      <c r="G1787" s="4" t="s">
        <v>25</v>
      </c>
      <c r="H1787" s="6">
        <f t="shared" si="27"/>
        <v>144.04</v>
      </c>
    </row>
    <row r="1788" spans="1:8" x14ac:dyDescent="0.2">
      <c r="A1788" s="2" t="s">
        <v>1863</v>
      </c>
      <c r="B1788" s="2" t="s">
        <v>1845</v>
      </c>
      <c r="C1788" s="2" t="s">
        <v>147</v>
      </c>
      <c r="D1788" s="3">
        <v>3850</v>
      </c>
      <c r="E1788" s="4" t="s">
        <v>53</v>
      </c>
      <c r="F1788" s="5">
        <v>13.7</v>
      </c>
      <c r="G1788" s="4" t="s">
        <v>54</v>
      </c>
      <c r="H1788" s="6">
        <f t="shared" si="27"/>
        <v>52745</v>
      </c>
    </row>
    <row r="1789" spans="1:8" x14ac:dyDescent="0.2">
      <c r="A1789" s="2" t="s">
        <v>1864</v>
      </c>
      <c r="B1789" s="2" t="s">
        <v>1845</v>
      </c>
      <c r="C1789" s="2" t="s">
        <v>19</v>
      </c>
      <c r="D1789" s="3">
        <v>1517</v>
      </c>
      <c r="E1789" s="4" t="s">
        <v>20</v>
      </c>
      <c r="F1789" s="5">
        <v>1.61</v>
      </c>
      <c r="G1789" s="4" t="s">
        <v>21</v>
      </c>
      <c r="H1789" s="6">
        <f t="shared" si="27"/>
        <v>2442.3700000000003</v>
      </c>
    </row>
    <row r="1790" spans="1:8" x14ac:dyDescent="0.2">
      <c r="A1790" s="2" t="s">
        <v>1865</v>
      </c>
      <c r="B1790" s="2" t="s">
        <v>1845</v>
      </c>
      <c r="C1790" s="2" t="s">
        <v>48</v>
      </c>
      <c r="D1790" s="3">
        <v>3891</v>
      </c>
      <c r="E1790" s="4" t="s">
        <v>24</v>
      </c>
      <c r="F1790" s="5">
        <v>7.0000000000000007E-2</v>
      </c>
      <c r="G1790" s="4" t="s">
        <v>25</v>
      </c>
      <c r="H1790" s="6">
        <f t="shared" si="27"/>
        <v>272.37</v>
      </c>
    </row>
    <row r="1791" spans="1:8" x14ac:dyDescent="0.2">
      <c r="A1791" s="2" t="s">
        <v>1866</v>
      </c>
      <c r="B1791" s="2" t="s">
        <v>1845</v>
      </c>
      <c r="C1791" s="2" t="s">
        <v>44</v>
      </c>
      <c r="D1791" s="3">
        <v>1863</v>
      </c>
      <c r="E1791" s="4" t="s">
        <v>24</v>
      </c>
      <c r="F1791" s="5">
        <v>0.92</v>
      </c>
      <c r="G1791" s="4" t="s">
        <v>25</v>
      </c>
      <c r="H1791" s="6">
        <f t="shared" si="27"/>
        <v>1713.96</v>
      </c>
    </row>
    <row r="1792" spans="1:8" x14ac:dyDescent="0.2">
      <c r="A1792" s="2" t="s">
        <v>1867</v>
      </c>
      <c r="B1792" s="2" t="s">
        <v>1845</v>
      </c>
      <c r="C1792" s="2" t="s">
        <v>33</v>
      </c>
      <c r="D1792" s="3">
        <v>2220</v>
      </c>
      <c r="E1792" s="4" t="s">
        <v>34</v>
      </c>
      <c r="F1792" s="5">
        <v>5.88</v>
      </c>
      <c r="G1792" s="4" t="s">
        <v>35</v>
      </c>
      <c r="H1792" s="6">
        <f t="shared" si="27"/>
        <v>13053.6</v>
      </c>
    </row>
    <row r="1793" spans="1:8" x14ac:dyDescent="0.2">
      <c r="A1793" s="2" t="s">
        <v>1868</v>
      </c>
      <c r="B1793" s="2" t="s">
        <v>1845</v>
      </c>
      <c r="C1793" s="2" t="s">
        <v>42</v>
      </c>
      <c r="D1793" s="3">
        <v>1671</v>
      </c>
      <c r="E1793" s="4" t="s">
        <v>24</v>
      </c>
      <c r="F1793" s="5">
        <v>5.77</v>
      </c>
      <c r="G1793" s="4" t="s">
        <v>25</v>
      </c>
      <c r="H1793" s="6">
        <f t="shared" si="27"/>
        <v>9641.67</v>
      </c>
    </row>
    <row r="1794" spans="1:8" x14ac:dyDescent="0.2">
      <c r="A1794" s="2" t="s">
        <v>1869</v>
      </c>
      <c r="B1794" s="2" t="s">
        <v>1845</v>
      </c>
      <c r="C1794" s="2" t="s">
        <v>27</v>
      </c>
      <c r="D1794" s="3">
        <v>1460</v>
      </c>
      <c r="E1794" s="4" t="s">
        <v>20</v>
      </c>
      <c r="F1794" s="5">
        <v>2.31</v>
      </c>
      <c r="G1794" s="4" t="s">
        <v>21</v>
      </c>
      <c r="H1794" s="6">
        <f t="shared" ref="H1794:H1857" si="28">D1794*F1794</f>
        <v>3372.6</v>
      </c>
    </row>
    <row r="1795" spans="1:8" x14ac:dyDescent="0.2">
      <c r="A1795" s="2" t="s">
        <v>1870</v>
      </c>
      <c r="B1795" s="2" t="s">
        <v>1845</v>
      </c>
      <c r="C1795" s="2" t="s">
        <v>23</v>
      </c>
      <c r="D1795" s="3">
        <v>4023</v>
      </c>
      <c r="E1795" s="4" t="s">
        <v>24</v>
      </c>
      <c r="F1795" s="5">
        <v>16.13</v>
      </c>
      <c r="G1795" s="4" t="s">
        <v>25</v>
      </c>
      <c r="H1795" s="6">
        <f t="shared" si="28"/>
        <v>64890.99</v>
      </c>
    </row>
    <row r="1796" spans="1:8" x14ac:dyDescent="0.2">
      <c r="A1796" s="2" t="s">
        <v>1871</v>
      </c>
      <c r="B1796" s="2" t="s">
        <v>1845</v>
      </c>
      <c r="C1796" s="2" t="s">
        <v>23</v>
      </c>
      <c r="D1796" s="3">
        <v>2031</v>
      </c>
      <c r="E1796" s="4" t="s">
        <v>24</v>
      </c>
      <c r="F1796" s="5">
        <v>14.57</v>
      </c>
      <c r="G1796" s="4" t="s">
        <v>25</v>
      </c>
      <c r="H1796" s="6">
        <f t="shared" si="28"/>
        <v>29591.670000000002</v>
      </c>
    </row>
    <row r="1797" spans="1:8" x14ac:dyDescent="0.2">
      <c r="A1797" s="2" t="s">
        <v>1872</v>
      </c>
      <c r="B1797" s="2" t="s">
        <v>1845</v>
      </c>
      <c r="C1797" s="2" t="s">
        <v>37</v>
      </c>
      <c r="D1797" s="3">
        <v>4990</v>
      </c>
      <c r="E1797" s="4" t="s">
        <v>38</v>
      </c>
      <c r="F1797" s="5">
        <v>4.21</v>
      </c>
      <c r="G1797" s="4" t="s">
        <v>39</v>
      </c>
      <c r="H1797" s="6">
        <f t="shared" si="28"/>
        <v>21007.9</v>
      </c>
    </row>
    <row r="1798" spans="1:8" x14ac:dyDescent="0.2">
      <c r="A1798" s="2" t="s">
        <v>1873</v>
      </c>
      <c r="B1798" s="2" t="s">
        <v>1845</v>
      </c>
      <c r="C1798" s="2" t="s">
        <v>67</v>
      </c>
      <c r="D1798" s="3">
        <v>2573</v>
      </c>
      <c r="E1798" s="4" t="s">
        <v>24</v>
      </c>
      <c r="F1798" s="5">
        <v>0.42</v>
      </c>
      <c r="G1798" s="4" t="s">
        <v>25</v>
      </c>
      <c r="H1798" s="6">
        <f t="shared" si="28"/>
        <v>1080.6599999999999</v>
      </c>
    </row>
    <row r="1799" spans="1:8" x14ac:dyDescent="0.2">
      <c r="A1799" s="2" t="s">
        <v>1874</v>
      </c>
      <c r="B1799" s="2" t="s">
        <v>1845</v>
      </c>
      <c r="C1799" s="2" t="s">
        <v>46</v>
      </c>
      <c r="D1799" s="3">
        <v>4874</v>
      </c>
      <c r="E1799" s="4" t="s">
        <v>20</v>
      </c>
      <c r="F1799" s="5">
        <v>3.07</v>
      </c>
      <c r="G1799" s="4" t="s">
        <v>21</v>
      </c>
      <c r="H1799" s="6">
        <f t="shared" si="28"/>
        <v>14963.179999999998</v>
      </c>
    </row>
    <row r="1800" spans="1:8" x14ac:dyDescent="0.2">
      <c r="A1800" s="2" t="s">
        <v>1875</v>
      </c>
      <c r="B1800" s="2" t="s">
        <v>1845</v>
      </c>
      <c r="C1800" s="2" t="s">
        <v>37</v>
      </c>
      <c r="D1800" s="3">
        <v>4275</v>
      </c>
      <c r="E1800" s="4" t="s">
        <v>38</v>
      </c>
      <c r="F1800" s="5">
        <v>2.33</v>
      </c>
      <c r="G1800" s="4" t="s">
        <v>39</v>
      </c>
      <c r="H1800" s="6">
        <f t="shared" si="28"/>
        <v>9960.75</v>
      </c>
    </row>
    <row r="1801" spans="1:8" x14ac:dyDescent="0.2">
      <c r="A1801" s="2" t="s">
        <v>1876</v>
      </c>
      <c r="B1801" s="2" t="s">
        <v>1845</v>
      </c>
      <c r="C1801" s="2" t="s">
        <v>23</v>
      </c>
      <c r="D1801" s="3">
        <v>357</v>
      </c>
      <c r="E1801" s="4" t="s">
        <v>24</v>
      </c>
      <c r="F1801" s="5">
        <v>17.27</v>
      </c>
      <c r="G1801" s="4" t="s">
        <v>25</v>
      </c>
      <c r="H1801" s="6">
        <f t="shared" si="28"/>
        <v>6165.3899999999994</v>
      </c>
    </row>
    <row r="1802" spans="1:8" x14ac:dyDescent="0.2">
      <c r="A1802" s="2" t="s">
        <v>1877</v>
      </c>
      <c r="B1802" s="2" t="s">
        <v>1845</v>
      </c>
      <c r="C1802" s="2" t="s">
        <v>42</v>
      </c>
      <c r="D1802" s="3">
        <v>4259</v>
      </c>
      <c r="E1802" s="4" t="s">
        <v>24</v>
      </c>
      <c r="F1802" s="5">
        <v>5.1100000000000003</v>
      </c>
      <c r="G1802" s="4" t="s">
        <v>25</v>
      </c>
      <c r="H1802" s="6">
        <f t="shared" si="28"/>
        <v>21763.49</v>
      </c>
    </row>
    <row r="1803" spans="1:8" x14ac:dyDescent="0.2">
      <c r="A1803" s="2" t="s">
        <v>1878</v>
      </c>
      <c r="B1803" s="2" t="s">
        <v>1845</v>
      </c>
      <c r="C1803" s="2" t="s">
        <v>37</v>
      </c>
      <c r="D1803" s="3">
        <v>4578</v>
      </c>
      <c r="E1803" s="4" t="s">
        <v>38</v>
      </c>
      <c r="F1803" s="5">
        <v>3.16</v>
      </c>
      <c r="G1803" s="4" t="s">
        <v>39</v>
      </c>
      <c r="H1803" s="6">
        <f t="shared" si="28"/>
        <v>14466.480000000001</v>
      </c>
    </row>
    <row r="1804" spans="1:8" x14ac:dyDescent="0.2">
      <c r="A1804" s="2" t="s">
        <v>1879</v>
      </c>
      <c r="B1804" s="2" t="s">
        <v>1845</v>
      </c>
      <c r="C1804" s="2" t="s">
        <v>37</v>
      </c>
      <c r="D1804" s="3">
        <v>1565</v>
      </c>
      <c r="E1804" s="4" t="s">
        <v>38</v>
      </c>
      <c r="F1804" s="5">
        <v>2.87</v>
      </c>
      <c r="G1804" s="4" t="s">
        <v>39</v>
      </c>
      <c r="H1804" s="6">
        <f t="shared" si="28"/>
        <v>4491.55</v>
      </c>
    </row>
    <row r="1805" spans="1:8" x14ac:dyDescent="0.2">
      <c r="A1805" s="2" t="s">
        <v>1880</v>
      </c>
      <c r="B1805" s="2" t="s">
        <v>1845</v>
      </c>
      <c r="C1805" s="2" t="s">
        <v>67</v>
      </c>
      <c r="D1805" s="3">
        <v>2504</v>
      </c>
      <c r="E1805" s="4" t="s">
        <v>24</v>
      </c>
      <c r="F1805" s="5">
        <v>0.53</v>
      </c>
      <c r="G1805" s="4" t="s">
        <v>25</v>
      </c>
      <c r="H1805" s="6">
        <f t="shared" si="28"/>
        <v>1327.1200000000001</v>
      </c>
    </row>
    <row r="1806" spans="1:8" x14ac:dyDescent="0.2">
      <c r="A1806" s="2" t="s">
        <v>1881</v>
      </c>
      <c r="B1806" s="2" t="s">
        <v>1845</v>
      </c>
      <c r="C1806" s="2" t="s">
        <v>71</v>
      </c>
      <c r="D1806" s="3">
        <v>3789</v>
      </c>
      <c r="E1806" s="4" t="s">
        <v>72</v>
      </c>
      <c r="F1806" s="5">
        <v>2499.89</v>
      </c>
      <c r="G1806" s="4" t="s">
        <v>73</v>
      </c>
      <c r="H1806" s="6">
        <f t="shared" si="28"/>
        <v>9472083.209999999</v>
      </c>
    </row>
    <row r="1807" spans="1:8" x14ac:dyDescent="0.2">
      <c r="A1807" s="2" t="s">
        <v>1882</v>
      </c>
      <c r="B1807" s="2" t="s">
        <v>1845</v>
      </c>
      <c r="C1807" s="2" t="s">
        <v>71</v>
      </c>
      <c r="D1807" s="3">
        <v>456</v>
      </c>
      <c r="E1807" s="4" t="s">
        <v>72</v>
      </c>
      <c r="F1807" s="5">
        <v>2813.97</v>
      </c>
      <c r="G1807" s="4" t="s">
        <v>73</v>
      </c>
      <c r="H1807" s="6">
        <f t="shared" si="28"/>
        <v>1283170.3199999998</v>
      </c>
    </row>
    <row r="1808" spans="1:8" x14ac:dyDescent="0.2">
      <c r="A1808" s="2" t="s">
        <v>1883</v>
      </c>
      <c r="B1808" s="2" t="s">
        <v>1845</v>
      </c>
      <c r="C1808" s="2" t="s">
        <v>89</v>
      </c>
      <c r="D1808" s="3">
        <v>3807</v>
      </c>
      <c r="E1808" s="4" t="s">
        <v>30</v>
      </c>
      <c r="F1808" s="5">
        <v>2.8</v>
      </c>
      <c r="G1808" s="4" t="s">
        <v>31</v>
      </c>
      <c r="H1808" s="6">
        <f t="shared" si="28"/>
        <v>10659.599999999999</v>
      </c>
    </row>
    <row r="1809" spans="1:8" x14ac:dyDescent="0.2">
      <c r="A1809" s="2" t="s">
        <v>1884</v>
      </c>
      <c r="B1809" s="2" t="s">
        <v>1845</v>
      </c>
      <c r="C1809" s="2" t="s">
        <v>23</v>
      </c>
      <c r="D1809" s="3">
        <v>750</v>
      </c>
      <c r="E1809" s="4" t="s">
        <v>24</v>
      </c>
      <c r="F1809" s="5">
        <v>16.34</v>
      </c>
      <c r="G1809" s="4" t="s">
        <v>25</v>
      </c>
      <c r="H1809" s="6">
        <f t="shared" si="28"/>
        <v>12255</v>
      </c>
    </row>
    <row r="1810" spans="1:8" x14ac:dyDescent="0.2">
      <c r="A1810" s="2" t="s">
        <v>1885</v>
      </c>
      <c r="B1810" s="2" t="s">
        <v>1845</v>
      </c>
      <c r="C1810" s="2" t="s">
        <v>50</v>
      </c>
      <c r="D1810" s="3">
        <v>1482</v>
      </c>
      <c r="E1810" s="4" t="s">
        <v>20</v>
      </c>
      <c r="F1810" s="5">
        <v>1.17</v>
      </c>
      <c r="G1810" s="4" t="s">
        <v>21</v>
      </c>
      <c r="H1810" s="6">
        <f t="shared" si="28"/>
        <v>1733.9399999999998</v>
      </c>
    </row>
    <row r="1811" spans="1:8" x14ac:dyDescent="0.2">
      <c r="A1811" s="2" t="s">
        <v>1886</v>
      </c>
      <c r="B1811" s="2" t="s">
        <v>1845</v>
      </c>
      <c r="C1811" s="2" t="s">
        <v>29</v>
      </c>
      <c r="D1811" s="3">
        <v>1118</v>
      </c>
      <c r="E1811" s="4" t="s">
        <v>30</v>
      </c>
      <c r="F1811" s="5">
        <v>1.47</v>
      </c>
      <c r="G1811" s="4" t="s">
        <v>31</v>
      </c>
      <c r="H1811" s="6">
        <f t="shared" si="28"/>
        <v>1643.46</v>
      </c>
    </row>
    <row r="1812" spans="1:8" x14ac:dyDescent="0.2">
      <c r="A1812" s="2" t="s">
        <v>1887</v>
      </c>
      <c r="B1812" s="2" t="s">
        <v>1845</v>
      </c>
      <c r="C1812" s="2" t="s">
        <v>57</v>
      </c>
      <c r="D1812" s="3">
        <v>3703</v>
      </c>
      <c r="E1812" s="4" t="s">
        <v>20</v>
      </c>
      <c r="F1812" s="5">
        <v>0.61</v>
      </c>
      <c r="G1812" s="4" t="s">
        <v>21</v>
      </c>
      <c r="H1812" s="6">
        <f t="shared" si="28"/>
        <v>2258.83</v>
      </c>
    </row>
    <row r="1813" spans="1:8" x14ac:dyDescent="0.2">
      <c r="A1813" s="2" t="s">
        <v>1888</v>
      </c>
      <c r="B1813" s="2" t="s">
        <v>1845</v>
      </c>
      <c r="C1813" s="2" t="s">
        <v>23</v>
      </c>
      <c r="D1813" s="3">
        <v>4845</v>
      </c>
      <c r="E1813" s="4" t="s">
        <v>24</v>
      </c>
      <c r="F1813" s="5">
        <v>17.38</v>
      </c>
      <c r="G1813" s="4" t="s">
        <v>25</v>
      </c>
      <c r="H1813" s="6">
        <f t="shared" si="28"/>
        <v>84206.099999999991</v>
      </c>
    </row>
    <row r="1814" spans="1:8" x14ac:dyDescent="0.2">
      <c r="A1814" s="2" t="s">
        <v>1889</v>
      </c>
      <c r="B1814" s="2" t="s">
        <v>1845</v>
      </c>
      <c r="C1814" s="2" t="s">
        <v>44</v>
      </c>
      <c r="D1814" s="3">
        <v>3734</v>
      </c>
      <c r="E1814" s="4" t="s">
        <v>24</v>
      </c>
      <c r="F1814" s="5">
        <v>0.96</v>
      </c>
      <c r="G1814" s="4" t="s">
        <v>25</v>
      </c>
      <c r="H1814" s="6">
        <f t="shared" si="28"/>
        <v>3584.64</v>
      </c>
    </row>
    <row r="1815" spans="1:8" x14ac:dyDescent="0.2">
      <c r="A1815" s="2" t="s">
        <v>1890</v>
      </c>
      <c r="B1815" s="2" t="s">
        <v>1845</v>
      </c>
      <c r="C1815" s="2" t="s">
        <v>57</v>
      </c>
      <c r="D1815" s="3">
        <v>1353</v>
      </c>
      <c r="E1815" s="4" t="s">
        <v>20</v>
      </c>
      <c r="F1815" s="5">
        <v>0.89</v>
      </c>
      <c r="G1815" s="4" t="s">
        <v>21</v>
      </c>
      <c r="H1815" s="6">
        <f t="shared" si="28"/>
        <v>1204.17</v>
      </c>
    </row>
    <row r="1816" spans="1:8" x14ac:dyDescent="0.2">
      <c r="A1816" s="2" t="s">
        <v>1891</v>
      </c>
      <c r="B1816" s="2" t="s">
        <v>1845</v>
      </c>
      <c r="C1816" s="2" t="s">
        <v>50</v>
      </c>
      <c r="D1816" s="3">
        <v>757</v>
      </c>
      <c r="E1816" s="4" t="s">
        <v>20</v>
      </c>
      <c r="F1816" s="5">
        <v>0.77</v>
      </c>
      <c r="G1816" s="4" t="s">
        <v>21</v>
      </c>
      <c r="H1816" s="6">
        <f t="shared" si="28"/>
        <v>582.89</v>
      </c>
    </row>
    <row r="1817" spans="1:8" x14ac:dyDescent="0.2">
      <c r="A1817" s="2" t="s">
        <v>1892</v>
      </c>
      <c r="B1817" s="2" t="s">
        <v>1845</v>
      </c>
      <c r="C1817" s="2" t="s">
        <v>23</v>
      </c>
      <c r="D1817" s="3">
        <v>2983</v>
      </c>
      <c r="E1817" s="4" t="s">
        <v>24</v>
      </c>
      <c r="F1817" s="5">
        <v>12.51</v>
      </c>
      <c r="G1817" s="4" t="s">
        <v>25</v>
      </c>
      <c r="H1817" s="6">
        <f t="shared" si="28"/>
        <v>37317.33</v>
      </c>
    </row>
    <row r="1818" spans="1:8" x14ac:dyDescent="0.2">
      <c r="A1818" s="2" t="s">
        <v>1893</v>
      </c>
      <c r="B1818" s="2" t="s">
        <v>1845</v>
      </c>
      <c r="C1818" s="2" t="s">
        <v>67</v>
      </c>
      <c r="D1818" s="3">
        <v>4201</v>
      </c>
      <c r="E1818" s="4" t="s">
        <v>24</v>
      </c>
      <c r="F1818" s="5">
        <v>0.48</v>
      </c>
      <c r="G1818" s="4" t="s">
        <v>25</v>
      </c>
      <c r="H1818" s="6">
        <f t="shared" si="28"/>
        <v>2016.48</v>
      </c>
    </row>
    <row r="1819" spans="1:8" x14ac:dyDescent="0.2">
      <c r="A1819" s="2" t="s">
        <v>1894</v>
      </c>
      <c r="B1819" s="2" t="s">
        <v>1845</v>
      </c>
      <c r="C1819" s="2" t="s">
        <v>118</v>
      </c>
      <c r="D1819" s="3">
        <v>3112</v>
      </c>
      <c r="E1819" s="4" t="s">
        <v>24</v>
      </c>
      <c r="F1819" s="5">
        <v>0.79</v>
      </c>
      <c r="G1819" s="4" t="s">
        <v>25</v>
      </c>
      <c r="H1819" s="6">
        <f t="shared" si="28"/>
        <v>2458.48</v>
      </c>
    </row>
    <row r="1820" spans="1:8" x14ac:dyDescent="0.2">
      <c r="A1820" s="2" t="s">
        <v>1895</v>
      </c>
      <c r="B1820" s="2" t="s">
        <v>1845</v>
      </c>
      <c r="C1820" s="2" t="s">
        <v>37</v>
      </c>
      <c r="D1820" s="3">
        <v>1409</v>
      </c>
      <c r="E1820" s="4" t="s">
        <v>38</v>
      </c>
      <c r="F1820" s="5">
        <v>4.74</v>
      </c>
      <c r="G1820" s="4" t="s">
        <v>39</v>
      </c>
      <c r="H1820" s="6">
        <f t="shared" si="28"/>
        <v>6678.66</v>
      </c>
    </row>
    <row r="1821" spans="1:8" x14ac:dyDescent="0.2">
      <c r="A1821" s="2" t="s">
        <v>1896</v>
      </c>
      <c r="B1821" s="2" t="s">
        <v>1845</v>
      </c>
      <c r="C1821" s="2" t="s">
        <v>46</v>
      </c>
      <c r="D1821" s="3">
        <v>1239</v>
      </c>
      <c r="E1821" s="4" t="s">
        <v>20</v>
      </c>
      <c r="F1821" s="5">
        <v>2.3199999999999998</v>
      </c>
      <c r="G1821" s="4" t="s">
        <v>21</v>
      </c>
      <c r="H1821" s="6">
        <f t="shared" si="28"/>
        <v>2874.48</v>
      </c>
    </row>
    <row r="1822" spans="1:8" x14ac:dyDescent="0.2">
      <c r="A1822" s="2" t="s">
        <v>1897</v>
      </c>
      <c r="B1822" s="2" t="s">
        <v>1845</v>
      </c>
      <c r="C1822" s="2" t="s">
        <v>89</v>
      </c>
      <c r="D1822" s="3">
        <v>1475</v>
      </c>
      <c r="E1822" s="4" t="s">
        <v>30</v>
      </c>
      <c r="F1822" s="5">
        <v>2.72</v>
      </c>
      <c r="G1822" s="4" t="s">
        <v>31</v>
      </c>
      <c r="H1822" s="6">
        <f t="shared" si="28"/>
        <v>4012.0000000000005</v>
      </c>
    </row>
    <row r="1823" spans="1:8" x14ac:dyDescent="0.2">
      <c r="A1823" s="2" t="s">
        <v>1898</v>
      </c>
      <c r="B1823" s="2" t="s">
        <v>1845</v>
      </c>
      <c r="C1823" s="2" t="s">
        <v>37</v>
      </c>
      <c r="D1823" s="3">
        <v>3447</v>
      </c>
      <c r="E1823" s="4" t="s">
        <v>38</v>
      </c>
      <c r="F1823" s="5">
        <v>2.92</v>
      </c>
      <c r="G1823" s="4" t="s">
        <v>39</v>
      </c>
      <c r="H1823" s="6">
        <f t="shared" si="28"/>
        <v>10065.24</v>
      </c>
    </row>
    <row r="1824" spans="1:8" x14ac:dyDescent="0.2">
      <c r="A1824" s="2" t="s">
        <v>1899</v>
      </c>
      <c r="B1824" s="2" t="s">
        <v>1845</v>
      </c>
      <c r="C1824" s="2" t="s">
        <v>23</v>
      </c>
      <c r="D1824" s="3">
        <v>2375</v>
      </c>
      <c r="E1824" s="4" t="s">
        <v>24</v>
      </c>
      <c r="F1824" s="5">
        <v>15.76</v>
      </c>
      <c r="G1824" s="4" t="s">
        <v>25</v>
      </c>
      <c r="H1824" s="6">
        <f t="shared" si="28"/>
        <v>37430</v>
      </c>
    </row>
    <row r="1825" spans="1:8" x14ac:dyDescent="0.2">
      <c r="A1825" s="2" t="s">
        <v>1900</v>
      </c>
      <c r="B1825" s="2" t="s">
        <v>1845</v>
      </c>
      <c r="C1825" s="2" t="s">
        <v>50</v>
      </c>
      <c r="D1825" s="3">
        <v>1087</v>
      </c>
      <c r="E1825" s="4" t="s">
        <v>20</v>
      </c>
      <c r="F1825" s="5">
        <v>1.28</v>
      </c>
      <c r="G1825" s="4" t="s">
        <v>21</v>
      </c>
      <c r="H1825" s="6">
        <f t="shared" si="28"/>
        <v>1391.3600000000001</v>
      </c>
    </row>
    <row r="1826" spans="1:8" x14ac:dyDescent="0.2">
      <c r="A1826" s="2" t="s">
        <v>1901</v>
      </c>
      <c r="B1826" s="2" t="s">
        <v>1845</v>
      </c>
      <c r="C1826" s="2" t="s">
        <v>33</v>
      </c>
      <c r="D1826" s="3">
        <v>2083</v>
      </c>
      <c r="E1826" s="4" t="s">
        <v>34</v>
      </c>
      <c r="F1826" s="5">
        <v>3.53</v>
      </c>
      <c r="G1826" s="4" t="s">
        <v>35</v>
      </c>
      <c r="H1826" s="6">
        <f t="shared" si="28"/>
        <v>7352.99</v>
      </c>
    </row>
    <row r="1827" spans="1:8" x14ac:dyDescent="0.2">
      <c r="A1827" s="2" t="s">
        <v>1902</v>
      </c>
      <c r="B1827" s="2" t="s">
        <v>1845</v>
      </c>
      <c r="C1827" s="2" t="s">
        <v>48</v>
      </c>
      <c r="D1827" s="3">
        <v>4094</v>
      </c>
      <c r="E1827" s="4" t="s">
        <v>24</v>
      </c>
      <c r="F1827" s="5">
        <v>0.13</v>
      </c>
      <c r="G1827" s="4" t="s">
        <v>25</v>
      </c>
      <c r="H1827" s="6">
        <f t="shared" si="28"/>
        <v>532.22</v>
      </c>
    </row>
    <row r="1828" spans="1:8" x14ac:dyDescent="0.2">
      <c r="A1828" s="2" t="s">
        <v>1903</v>
      </c>
      <c r="B1828" s="2" t="s">
        <v>1845</v>
      </c>
      <c r="C1828" s="2" t="s">
        <v>33</v>
      </c>
      <c r="D1828" s="3">
        <v>4990</v>
      </c>
      <c r="E1828" s="4" t="s">
        <v>34</v>
      </c>
      <c r="F1828" s="5">
        <v>5.71</v>
      </c>
      <c r="G1828" s="4" t="s">
        <v>35</v>
      </c>
      <c r="H1828" s="6">
        <f t="shared" si="28"/>
        <v>28492.9</v>
      </c>
    </row>
    <row r="1829" spans="1:8" x14ac:dyDescent="0.2">
      <c r="A1829" s="2" t="s">
        <v>1904</v>
      </c>
      <c r="B1829" s="2" t="s">
        <v>1845</v>
      </c>
      <c r="C1829" s="2" t="s">
        <v>42</v>
      </c>
      <c r="D1829" s="3">
        <v>1786</v>
      </c>
      <c r="E1829" s="4" t="s">
        <v>24</v>
      </c>
      <c r="F1829" s="5">
        <v>5.27</v>
      </c>
      <c r="G1829" s="4" t="s">
        <v>25</v>
      </c>
      <c r="H1829" s="6">
        <f t="shared" si="28"/>
        <v>9412.2199999999993</v>
      </c>
    </row>
    <row r="1830" spans="1:8" x14ac:dyDescent="0.2">
      <c r="A1830" s="2" t="s">
        <v>1905</v>
      </c>
      <c r="B1830" s="2" t="s">
        <v>1845</v>
      </c>
      <c r="C1830" s="2" t="s">
        <v>48</v>
      </c>
      <c r="D1830" s="3">
        <v>3727</v>
      </c>
      <c r="E1830" s="4" t="s">
        <v>24</v>
      </c>
      <c r="F1830" s="5">
        <v>0.11</v>
      </c>
      <c r="G1830" s="4" t="s">
        <v>25</v>
      </c>
      <c r="H1830" s="6">
        <f t="shared" si="28"/>
        <v>409.97</v>
      </c>
    </row>
    <row r="1831" spans="1:8" x14ac:dyDescent="0.2">
      <c r="A1831" s="2" t="s">
        <v>1906</v>
      </c>
      <c r="B1831" s="2" t="s">
        <v>1845</v>
      </c>
      <c r="C1831" s="2" t="s">
        <v>27</v>
      </c>
      <c r="D1831" s="3">
        <v>4935</v>
      </c>
      <c r="E1831" s="4" t="s">
        <v>20</v>
      </c>
      <c r="F1831" s="5">
        <v>1.92</v>
      </c>
      <c r="G1831" s="4" t="s">
        <v>21</v>
      </c>
      <c r="H1831" s="6">
        <f t="shared" si="28"/>
        <v>9475.1999999999989</v>
      </c>
    </row>
    <row r="1832" spans="1:8" x14ac:dyDescent="0.2">
      <c r="A1832" s="2" t="s">
        <v>1907</v>
      </c>
      <c r="B1832" s="2" t="s">
        <v>1845</v>
      </c>
      <c r="C1832" s="2" t="s">
        <v>42</v>
      </c>
      <c r="D1832" s="3">
        <v>4493</v>
      </c>
      <c r="E1832" s="4" t="s">
        <v>24</v>
      </c>
      <c r="F1832" s="5">
        <v>4.33</v>
      </c>
      <c r="G1832" s="4" t="s">
        <v>25</v>
      </c>
      <c r="H1832" s="6">
        <f t="shared" si="28"/>
        <v>19454.689999999999</v>
      </c>
    </row>
    <row r="1833" spans="1:8" x14ac:dyDescent="0.2">
      <c r="A1833" s="2" t="s">
        <v>1908</v>
      </c>
      <c r="B1833" s="2" t="s">
        <v>1845</v>
      </c>
      <c r="C1833" s="2" t="s">
        <v>29</v>
      </c>
      <c r="D1833" s="3">
        <v>1710</v>
      </c>
      <c r="E1833" s="4" t="s">
        <v>30</v>
      </c>
      <c r="F1833" s="5">
        <v>1.06</v>
      </c>
      <c r="G1833" s="4" t="s">
        <v>31</v>
      </c>
      <c r="H1833" s="6">
        <f t="shared" si="28"/>
        <v>1812.6000000000001</v>
      </c>
    </row>
    <row r="1834" spans="1:8" x14ac:dyDescent="0.2">
      <c r="A1834" s="2" t="s">
        <v>1909</v>
      </c>
      <c r="B1834" s="2" t="s">
        <v>1845</v>
      </c>
      <c r="C1834" s="2" t="s">
        <v>89</v>
      </c>
      <c r="D1834" s="3">
        <v>461</v>
      </c>
      <c r="E1834" s="4" t="s">
        <v>30</v>
      </c>
      <c r="F1834" s="5">
        <v>2.58</v>
      </c>
      <c r="G1834" s="4" t="s">
        <v>31</v>
      </c>
      <c r="H1834" s="6">
        <f t="shared" si="28"/>
        <v>1189.3800000000001</v>
      </c>
    </row>
    <row r="1835" spans="1:8" x14ac:dyDescent="0.2">
      <c r="A1835" s="2" t="s">
        <v>1910</v>
      </c>
      <c r="B1835" s="2" t="s">
        <v>1845</v>
      </c>
      <c r="C1835" s="2" t="s">
        <v>37</v>
      </c>
      <c r="D1835" s="3">
        <v>1200</v>
      </c>
      <c r="E1835" s="4" t="s">
        <v>38</v>
      </c>
      <c r="F1835" s="5">
        <v>4.5599999999999996</v>
      </c>
      <c r="G1835" s="4" t="s">
        <v>39</v>
      </c>
      <c r="H1835" s="6">
        <f t="shared" si="28"/>
        <v>5471.9999999999991</v>
      </c>
    </row>
    <row r="1836" spans="1:8" x14ac:dyDescent="0.2">
      <c r="A1836" s="2" t="s">
        <v>1911</v>
      </c>
      <c r="B1836" s="2" t="s">
        <v>1845</v>
      </c>
      <c r="C1836" s="2" t="s">
        <v>46</v>
      </c>
      <c r="D1836" s="3">
        <v>4952</v>
      </c>
      <c r="E1836" s="4" t="s">
        <v>20</v>
      </c>
      <c r="F1836" s="5">
        <v>2.6</v>
      </c>
      <c r="G1836" s="4" t="s">
        <v>21</v>
      </c>
      <c r="H1836" s="6">
        <f t="shared" si="28"/>
        <v>12875.2</v>
      </c>
    </row>
    <row r="1837" spans="1:8" x14ac:dyDescent="0.2">
      <c r="A1837" s="2" t="s">
        <v>1912</v>
      </c>
      <c r="B1837" s="2" t="s">
        <v>1845</v>
      </c>
      <c r="C1837" s="2" t="s">
        <v>27</v>
      </c>
      <c r="D1837" s="3">
        <v>411</v>
      </c>
      <c r="E1837" s="4" t="s">
        <v>20</v>
      </c>
      <c r="F1837" s="5">
        <v>1.33</v>
      </c>
      <c r="G1837" s="4" t="s">
        <v>21</v>
      </c>
      <c r="H1837" s="6">
        <f t="shared" si="28"/>
        <v>546.63</v>
      </c>
    </row>
    <row r="1838" spans="1:8" x14ac:dyDescent="0.2">
      <c r="A1838" s="2" t="s">
        <v>1913</v>
      </c>
      <c r="B1838" s="2" t="s">
        <v>1845</v>
      </c>
      <c r="C1838" s="2" t="s">
        <v>118</v>
      </c>
      <c r="D1838" s="3">
        <v>1331</v>
      </c>
      <c r="E1838" s="4" t="s">
        <v>24</v>
      </c>
      <c r="F1838" s="5">
        <v>0.87</v>
      </c>
      <c r="G1838" s="4" t="s">
        <v>25</v>
      </c>
      <c r="H1838" s="6">
        <f t="shared" si="28"/>
        <v>1157.97</v>
      </c>
    </row>
    <row r="1839" spans="1:8" x14ac:dyDescent="0.2">
      <c r="A1839" s="2" t="s">
        <v>1914</v>
      </c>
      <c r="B1839" s="2" t="s">
        <v>1845</v>
      </c>
      <c r="C1839" s="2" t="s">
        <v>147</v>
      </c>
      <c r="D1839" s="3">
        <v>4883</v>
      </c>
      <c r="E1839" s="4" t="s">
        <v>53</v>
      </c>
      <c r="F1839" s="5">
        <v>12.58</v>
      </c>
      <c r="G1839" s="4" t="s">
        <v>54</v>
      </c>
      <c r="H1839" s="6">
        <f t="shared" si="28"/>
        <v>61428.14</v>
      </c>
    </row>
    <row r="1840" spans="1:8" x14ac:dyDescent="0.2">
      <c r="A1840" s="2" t="s">
        <v>1915</v>
      </c>
      <c r="B1840" s="2" t="s">
        <v>1845</v>
      </c>
      <c r="C1840" s="2" t="s">
        <v>29</v>
      </c>
      <c r="D1840" s="3">
        <v>1463</v>
      </c>
      <c r="E1840" s="4" t="s">
        <v>30</v>
      </c>
      <c r="F1840" s="5">
        <v>2.16</v>
      </c>
      <c r="G1840" s="4" t="s">
        <v>31</v>
      </c>
      <c r="H1840" s="6">
        <f t="shared" si="28"/>
        <v>3160.0800000000004</v>
      </c>
    </row>
    <row r="1841" spans="1:8" x14ac:dyDescent="0.2">
      <c r="A1841" s="2" t="s">
        <v>1916</v>
      </c>
      <c r="B1841" s="2" t="s">
        <v>1845</v>
      </c>
      <c r="C1841" s="2" t="s">
        <v>46</v>
      </c>
      <c r="D1841" s="3">
        <v>2960</v>
      </c>
      <c r="E1841" s="4" t="s">
        <v>20</v>
      </c>
      <c r="F1841" s="5">
        <v>3.86</v>
      </c>
      <c r="G1841" s="4" t="s">
        <v>21</v>
      </c>
      <c r="H1841" s="6">
        <f t="shared" si="28"/>
        <v>11425.6</v>
      </c>
    </row>
    <row r="1842" spans="1:8" x14ac:dyDescent="0.2">
      <c r="A1842" s="2" t="s">
        <v>1917</v>
      </c>
      <c r="B1842" s="2" t="s">
        <v>1845</v>
      </c>
      <c r="C1842" s="2" t="s">
        <v>27</v>
      </c>
      <c r="D1842" s="3">
        <v>2461</v>
      </c>
      <c r="E1842" s="4" t="s">
        <v>20</v>
      </c>
      <c r="F1842" s="5">
        <v>1.59</v>
      </c>
      <c r="G1842" s="4" t="s">
        <v>21</v>
      </c>
      <c r="H1842" s="6">
        <f t="shared" si="28"/>
        <v>3912.9900000000002</v>
      </c>
    </row>
    <row r="1843" spans="1:8" x14ac:dyDescent="0.2">
      <c r="A1843" s="2" t="s">
        <v>1918</v>
      </c>
      <c r="B1843" s="2" t="s">
        <v>1845</v>
      </c>
      <c r="C1843" s="2" t="s">
        <v>67</v>
      </c>
      <c r="D1843" s="3">
        <v>564</v>
      </c>
      <c r="E1843" s="4" t="s">
        <v>24</v>
      </c>
      <c r="F1843" s="5">
        <v>0.53</v>
      </c>
      <c r="G1843" s="4" t="s">
        <v>25</v>
      </c>
      <c r="H1843" s="6">
        <f t="shared" si="28"/>
        <v>298.92</v>
      </c>
    </row>
    <row r="1844" spans="1:8" x14ac:dyDescent="0.2">
      <c r="A1844" s="2" t="s">
        <v>1919</v>
      </c>
      <c r="B1844" s="2" t="s">
        <v>1845</v>
      </c>
      <c r="C1844" s="2" t="s">
        <v>29</v>
      </c>
      <c r="D1844" s="3">
        <v>541</v>
      </c>
      <c r="E1844" s="4" t="s">
        <v>30</v>
      </c>
      <c r="F1844" s="5">
        <v>1.35</v>
      </c>
      <c r="G1844" s="4" t="s">
        <v>31</v>
      </c>
      <c r="H1844" s="6">
        <f t="shared" si="28"/>
        <v>730.35</v>
      </c>
    </row>
    <row r="1845" spans="1:8" x14ac:dyDescent="0.2">
      <c r="A1845" s="2" t="s">
        <v>1920</v>
      </c>
      <c r="B1845" s="2" t="s">
        <v>1845</v>
      </c>
      <c r="C1845" s="2" t="s">
        <v>89</v>
      </c>
      <c r="D1845" s="3">
        <v>1009</v>
      </c>
      <c r="E1845" s="4" t="s">
        <v>30</v>
      </c>
      <c r="F1845" s="5">
        <v>2.63</v>
      </c>
      <c r="G1845" s="4" t="s">
        <v>31</v>
      </c>
      <c r="H1845" s="6">
        <f t="shared" si="28"/>
        <v>2653.67</v>
      </c>
    </row>
    <row r="1846" spans="1:8" x14ac:dyDescent="0.2">
      <c r="A1846" s="2" t="s">
        <v>1921</v>
      </c>
      <c r="B1846" s="2" t="s">
        <v>1845</v>
      </c>
      <c r="C1846" s="2" t="s">
        <v>86</v>
      </c>
      <c r="D1846" s="3">
        <v>2706</v>
      </c>
      <c r="E1846" s="4" t="s">
        <v>72</v>
      </c>
      <c r="F1846" s="5">
        <v>8537.8700000000008</v>
      </c>
      <c r="G1846" s="4" t="s">
        <v>73</v>
      </c>
      <c r="H1846" s="6">
        <f t="shared" si="28"/>
        <v>23103476.220000003</v>
      </c>
    </row>
    <row r="1847" spans="1:8" x14ac:dyDescent="0.2">
      <c r="A1847" s="2" t="s">
        <v>1922</v>
      </c>
      <c r="B1847" s="2" t="s">
        <v>1845</v>
      </c>
      <c r="C1847" s="2" t="s">
        <v>78</v>
      </c>
      <c r="D1847" s="3">
        <v>1729</v>
      </c>
      <c r="E1847" s="4" t="s">
        <v>38</v>
      </c>
      <c r="F1847" s="5">
        <v>2.68</v>
      </c>
      <c r="G1847" s="4" t="s">
        <v>39</v>
      </c>
      <c r="H1847" s="6">
        <f t="shared" si="28"/>
        <v>4633.72</v>
      </c>
    </row>
    <row r="1848" spans="1:8" x14ac:dyDescent="0.2">
      <c r="A1848" s="2" t="s">
        <v>1923</v>
      </c>
      <c r="B1848" s="2" t="s">
        <v>1845</v>
      </c>
      <c r="C1848" s="2" t="s">
        <v>147</v>
      </c>
      <c r="D1848" s="3">
        <v>486</v>
      </c>
      <c r="E1848" s="4" t="s">
        <v>53</v>
      </c>
      <c r="F1848" s="5">
        <v>8.8699999999999992</v>
      </c>
      <c r="G1848" s="4" t="s">
        <v>54</v>
      </c>
      <c r="H1848" s="6">
        <f t="shared" si="28"/>
        <v>4310.82</v>
      </c>
    </row>
    <row r="1849" spans="1:8" x14ac:dyDescent="0.2">
      <c r="A1849" s="2" t="s">
        <v>1924</v>
      </c>
      <c r="B1849" s="2" t="s">
        <v>1845</v>
      </c>
      <c r="C1849" s="2" t="s">
        <v>78</v>
      </c>
      <c r="D1849" s="3">
        <v>728</v>
      </c>
      <c r="E1849" s="4" t="s">
        <v>38</v>
      </c>
      <c r="F1849" s="5">
        <v>2.3199999999999998</v>
      </c>
      <c r="G1849" s="4" t="s">
        <v>39</v>
      </c>
      <c r="H1849" s="6">
        <f t="shared" si="28"/>
        <v>1688.9599999999998</v>
      </c>
    </row>
    <row r="1850" spans="1:8" x14ac:dyDescent="0.2">
      <c r="A1850" s="2" t="s">
        <v>1925</v>
      </c>
      <c r="B1850" s="2" t="s">
        <v>1845</v>
      </c>
      <c r="C1850" s="2" t="s">
        <v>147</v>
      </c>
      <c r="D1850" s="3">
        <v>2362</v>
      </c>
      <c r="E1850" s="4" t="s">
        <v>53</v>
      </c>
      <c r="F1850" s="5">
        <v>11.42</v>
      </c>
      <c r="G1850" s="4" t="s">
        <v>54</v>
      </c>
      <c r="H1850" s="6">
        <f t="shared" si="28"/>
        <v>26974.04</v>
      </c>
    </row>
    <row r="1851" spans="1:8" x14ac:dyDescent="0.2">
      <c r="A1851" s="2" t="s">
        <v>1926</v>
      </c>
      <c r="B1851" s="2" t="s">
        <v>1845</v>
      </c>
      <c r="C1851" s="2" t="s">
        <v>57</v>
      </c>
      <c r="D1851" s="3">
        <v>2137</v>
      </c>
      <c r="E1851" s="4" t="s">
        <v>20</v>
      </c>
      <c r="F1851" s="5">
        <v>0.81</v>
      </c>
      <c r="G1851" s="4" t="s">
        <v>21</v>
      </c>
      <c r="H1851" s="6">
        <f t="shared" si="28"/>
        <v>1730.97</v>
      </c>
    </row>
    <row r="1852" spans="1:8" x14ac:dyDescent="0.2">
      <c r="A1852" s="2" t="s">
        <v>1927</v>
      </c>
      <c r="B1852" s="2" t="s">
        <v>1845</v>
      </c>
      <c r="C1852" s="2" t="s">
        <v>147</v>
      </c>
      <c r="D1852" s="3">
        <v>2908</v>
      </c>
      <c r="E1852" s="4" t="s">
        <v>53</v>
      </c>
      <c r="F1852" s="5">
        <v>15.42</v>
      </c>
      <c r="G1852" s="4" t="s">
        <v>54</v>
      </c>
      <c r="H1852" s="6">
        <f t="shared" si="28"/>
        <v>44841.36</v>
      </c>
    </row>
    <row r="1853" spans="1:8" x14ac:dyDescent="0.2">
      <c r="A1853" s="2" t="s">
        <v>1928</v>
      </c>
      <c r="B1853" s="2" t="s">
        <v>1845</v>
      </c>
      <c r="C1853" s="2" t="s">
        <v>147</v>
      </c>
      <c r="D1853" s="3">
        <v>4619</v>
      </c>
      <c r="E1853" s="4" t="s">
        <v>53</v>
      </c>
      <c r="F1853" s="5">
        <v>11.97</v>
      </c>
      <c r="G1853" s="4" t="s">
        <v>54</v>
      </c>
      <c r="H1853" s="6">
        <f t="shared" si="28"/>
        <v>55289.43</v>
      </c>
    </row>
    <row r="1854" spans="1:8" x14ac:dyDescent="0.2">
      <c r="A1854" s="2" t="s">
        <v>1929</v>
      </c>
      <c r="B1854" s="2" t="s">
        <v>1845</v>
      </c>
      <c r="C1854" s="2" t="s">
        <v>48</v>
      </c>
      <c r="D1854" s="3">
        <v>4044</v>
      </c>
      <c r="E1854" s="4" t="s">
        <v>24</v>
      </c>
      <c r="F1854" s="5">
        <v>0.17</v>
      </c>
      <c r="G1854" s="4" t="s">
        <v>25</v>
      </c>
      <c r="H1854" s="6">
        <f t="shared" si="28"/>
        <v>687.48</v>
      </c>
    </row>
    <row r="1855" spans="1:8" x14ac:dyDescent="0.2">
      <c r="A1855" s="2" t="s">
        <v>1930</v>
      </c>
      <c r="B1855" s="2" t="s">
        <v>1845</v>
      </c>
      <c r="C1855" s="2" t="s">
        <v>147</v>
      </c>
      <c r="D1855" s="3">
        <v>1916</v>
      </c>
      <c r="E1855" s="4" t="s">
        <v>53</v>
      </c>
      <c r="F1855" s="5">
        <v>13.67</v>
      </c>
      <c r="G1855" s="4" t="s">
        <v>54</v>
      </c>
      <c r="H1855" s="6">
        <f t="shared" si="28"/>
        <v>26191.72</v>
      </c>
    </row>
    <row r="1856" spans="1:8" x14ac:dyDescent="0.2">
      <c r="A1856" s="2" t="s">
        <v>1931</v>
      </c>
      <c r="B1856" s="2" t="s">
        <v>1845</v>
      </c>
      <c r="C1856" s="2" t="s">
        <v>44</v>
      </c>
      <c r="D1856" s="3">
        <v>22</v>
      </c>
      <c r="E1856" s="4" t="s">
        <v>24</v>
      </c>
      <c r="F1856" s="5">
        <v>0.98</v>
      </c>
      <c r="G1856" s="4" t="s">
        <v>25</v>
      </c>
      <c r="H1856" s="6">
        <f t="shared" si="28"/>
        <v>21.56</v>
      </c>
    </row>
    <row r="1857" spans="1:8" x14ac:dyDescent="0.2">
      <c r="A1857" s="2" t="s">
        <v>1932</v>
      </c>
      <c r="B1857" s="2" t="s">
        <v>1845</v>
      </c>
      <c r="C1857" s="2" t="s">
        <v>23</v>
      </c>
      <c r="D1857" s="3">
        <v>976</v>
      </c>
      <c r="E1857" s="4" t="s">
        <v>24</v>
      </c>
      <c r="F1857" s="5">
        <v>16.420000000000002</v>
      </c>
      <c r="G1857" s="4" t="s">
        <v>25</v>
      </c>
      <c r="H1857" s="6">
        <f t="shared" si="28"/>
        <v>16025.920000000002</v>
      </c>
    </row>
    <row r="1858" spans="1:8" x14ac:dyDescent="0.2">
      <c r="A1858" s="2" t="s">
        <v>1933</v>
      </c>
      <c r="B1858" s="2" t="s">
        <v>1845</v>
      </c>
      <c r="C1858" s="2" t="s">
        <v>44</v>
      </c>
      <c r="D1858" s="3">
        <v>3406</v>
      </c>
      <c r="E1858" s="4" t="s">
        <v>24</v>
      </c>
      <c r="F1858" s="5">
        <v>1.19</v>
      </c>
      <c r="G1858" s="4" t="s">
        <v>25</v>
      </c>
      <c r="H1858" s="6">
        <f t="shared" ref="H1858:H1921" si="29">D1858*F1858</f>
        <v>4053.14</v>
      </c>
    </row>
    <row r="1859" spans="1:8" x14ac:dyDescent="0.2">
      <c r="A1859" s="2" t="s">
        <v>1934</v>
      </c>
      <c r="B1859" s="2" t="s">
        <v>1845</v>
      </c>
      <c r="C1859" s="2" t="s">
        <v>57</v>
      </c>
      <c r="D1859" s="3">
        <v>2874</v>
      </c>
      <c r="E1859" s="4" t="s">
        <v>20</v>
      </c>
      <c r="F1859" s="5">
        <v>0.82</v>
      </c>
      <c r="G1859" s="4" t="s">
        <v>21</v>
      </c>
      <c r="H1859" s="6">
        <f t="shared" si="29"/>
        <v>2356.6799999999998</v>
      </c>
    </row>
    <row r="1860" spans="1:8" x14ac:dyDescent="0.2">
      <c r="A1860" s="2" t="s">
        <v>1935</v>
      </c>
      <c r="B1860" s="2" t="s">
        <v>1845</v>
      </c>
      <c r="C1860" s="2" t="s">
        <v>44</v>
      </c>
      <c r="D1860" s="3">
        <v>102</v>
      </c>
      <c r="E1860" s="4" t="s">
        <v>24</v>
      </c>
      <c r="F1860" s="5">
        <v>1.35</v>
      </c>
      <c r="G1860" s="4" t="s">
        <v>25</v>
      </c>
      <c r="H1860" s="6">
        <f t="shared" si="29"/>
        <v>137.70000000000002</v>
      </c>
    </row>
    <row r="1861" spans="1:8" x14ac:dyDescent="0.2">
      <c r="A1861" s="2" t="s">
        <v>1936</v>
      </c>
      <c r="B1861" s="2" t="s">
        <v>1845</v>
      </c>
      <c r="C1861" s="2" t="s">
        <v>71</v>
      </c>
      <c r="D1861" s="3">
        <v>2094</v>
      </c>
      <c r="E1861" s="4" t="s">
        <v>72</v>
      </c>
      <c r="F1861" s="5">
        <v>2874.12</v>
      </c>
      <c r="G1861" s="4" t="s">
        <v>73</v>
      </c>
      <c r="H1861" s="6">
        <f t="shared" si="29"/>
        <v>6018407.2799999993</v>
      </c>
    </row>
    <row r="1862" spans="1:8" x14ac:dyDescent="0.2">
      <c r="A1862" s="2" t="s">
        <v>1937</v>
      </c>
      <c r="B1862" s="2" t="s">
        <v>1845</v>
      </c>
      <c r="C1862" s="2" t="s">
        <v>71</v>
      </c>
      <c r="D1862" s="3">
        <v>2469</v>
      </c>
      <c r="E1862" s="4" t="s">
        <v>72</v>
      </c>
      <c r="F1862" s="5">
        <v>2704.01</v>
      </c>
      <c r="G1862" s="4" t="s">
        <v>73</v>
      </c>
      <c r="H1862" s="6">
        <f t="shared" si="29"/>
        <v>6676200.6900000004</v>
      </c>
    </row>
    <row r="1863" spans="1:8" x14ac:dyDescent="0.2">
      <c r="A1863" s="2" t="s">
        <v>1938</v>
      </c>
      <c r="B1863" s="2" t="s">
        <v>1845</v>
      </c>
      <c r="C1863" s="2" t="s">
        <v>57</v>
      </c>
      <c r="D1863" s="3">
        <v>60</v>
      </c>
      <c r="E1863" s="4" t="s">
        <v>20</v>
      </c>
      <c r="F1863" s="5">
        <v>0.65</v>
      </c>
      <c r="G1863" s="4" t="s">
        <v>21</v>
      </c>
      <c r="H1863" s="6">
        <f t="shared" si="29"/>
        <v>39</v>
      </c>
    </row>
    <row r="1864" spans="1:8" x14ac:dyDescent="0.2">
      <c r="A1864" s="2" t="s">
        <v>1939</v>
      </c>
      <c r="B1864" s="2" t="s">
        <v>1845</v>
      </c>
      <c r="C1864" s="2" t="s">
        <v>57</v>
      </c>
      <c r="D1864" s="3">
        <v>2806</v>
      </c>
      <c r="E1864" s="4" t="s">
        <v>20</v>
      </c>
      <c r="F1864" s="5">
        <v>0.76</v>
      </c>
      <c r="G1864" s="4" t="s">
        <v>21</v>
      </c>
      <c r="H1864" s="6">
        <f t="shared" si="29"/>
        <v>2132.56</v>
      </c>
    </row>
    <row r="1865" spans="1:8" x14ac:dyDescent="0.2">
      <c r="A1865" s="2" t="s">
        <v>1940</v>
      </c>
      <c r="B1865" s="2" t="s">
        <v>1845</v>
      </c>
      <c r="C1865" s="2" t="s">
        <v>46</v>
      </c>
      <c r="D1865" s="3">
        <v>248</v>
      </c>
      <c r="E1865" s="4" t="s">
        <v>20</v>
      </c>
      <c r="F1865" s="5">
        <v>3.66</v>
      </c>
      <c r="G1865" s="4" t="s">
        <v>21</v>
      </c>
      <c r="H1865" s="6">
        <f t="shared" si="29"/>
        <v>907.68000000000006</v>
      </c>
    </row>
    <row r="1866" spans="1:8" x14ac:dyDescent="0.2">
      <c r="A1866" s="2" t="s">
        <v>1941</v>
      </c>
      <c r="B1866" s="2" t="s">
        <v>1845</v>
      </c>
      <c r="C1866" s="2" t="s">
        <v>44</v>
      </c>
      <c r="D1866" s="3">
        <v>2717</v>
      </c>
      <c r="E1866" s="4" t="s">
        <v>24</v>
      </c>
      <c r="F1866" s="5">
        <v>1.48</v>
      </c>
      <c r="G1866" s="4" t="s">
        <v>25</v>
      </c>
      <c r="H1866" s="6">
        <f t="shared" si="29"/>
        <v>4021.16</v>
      </c>
    </row>
    <row r="1867" spans="1:8" x14ac:dyDescent="0.2">
      <c r="A1867" s="2" t="s">
        <v>1942</v>
      </c>
      <c r="B1867" s="2" t="s">
        <v>1845</v>
      </c>
      <c r="C1867" s="2" t="s">
        <v>48</v>
      </c>
      <c r="D1867" s="3">
        <v>3897</v>
      </c>
      <c r="E1867" s="4" t="s">
        <v>24</v>
      </c>
      <c r="F1867" s="5">
        <v>0.17</v>
      </c>
      <c r="G1867" s="4" t="s">
        <v>25</v>
      </c>
      <c r="H1867" s="6">
        <f t="shared" si="29"/>
        <v>662.49</v>
      </c>
    </row>
    <row r="1868" spans="1:8" x14ac:dyDescent="0.2">
      <c r="A1868" s="2" t="s">
        <v>1943</v>
      </c>
      <c r="B1868" s="2" t="s">
        <v>1845</v>
      </c>
      <c r="C1868" s="2" t="s">
        <v>89</v>
      </c>
      <c r="D1868" s="3">
        <v>3954</v>
      </c>
      <c r="E1868" s="4" t="s">
        <v>30</v>
      </c>
      <c r="F1868" s="5">
        <v>1.99</v>
      </c>
      <c r="G1868" s="4" t="s">
        <v>31</v>
      </c>
      <c r="H1868" s="6">
        <f t="shared" si="29"/>
        <v>7868.46</v>
      </c>
    </row>
    <row r="1869" spans="1:8" x14ac:dyDescent="0.2">
      <c r="A1869" s="2" t="s">
        <v>1944</v>
      </c>
      <c r="B1869" s="2" t="s">
        <v>1845</v>
      </c>
      <c r="C1869" s="2" t="s">
        <v>23</v>
      </c>
      <c r="D1869" s="3">
        <v>4408</v>
      </c>
      <c r="E1869" s="4" t="s">
        <v>24</v>
      </c>
      <c r="F1869" s="5">
        <v>17.38</v>
      </c>
      <c r="G1869" s="4" t="s">
        <v>25</v>
      </c>
      <c r="H1869" s="6">
        <f t="shared" si="29"/>
        <v>76611.039999999994</v>
      </c>
    </row>
    <row r="1870" spans="1:8" x14ac:dyDescent="0.2">
      <c r="A1870" s="2" t="s">
        <v>1945</v>
      </c>
      <c r="B1870" s="2" t="s">
        <v>1845</v>
      </c>
      <c r="C1870" s="2" t="s">
        <v>23</v>
      </c>
      <c r="D1870" s="3">
        <v>3401</v>
      </c>
      <c r="E1870" s="4" t="s">
        <v>24</v>
      </c>
      <c r="F1870" s="5">
        <v>17.57</v>
      </c>
      <c r="G1870" s="4" t="s">
        <v>25</v>
      </c>
      <c r="H1870" s="6">
        <f t="shared" si="29"/>
        <v>59755.57</v>
      </c>
    </row>
    <row r="1871" spans="1:8" x14ac:dyDescent="0.2">
      <c r="A1871" s="2" t="s">
        <v>1946</v>
      </c>
      <c r="B1871" s="2" t="s">
        <v>1845</v>
      </c>
      <c r="C1871" s="2" t="s">
        <v>37</v>
      </c>
      <c r="D1871" s="3">
        <v>4278</v>
      </c>
      <c r="E1871" s="4" t="s">
        <v>38</v>
      </c>
      <c r="F1871" s="5">
        <v>2.9</v>
      </c>
      <c r="G1871" s="4" t="s">
        <v>39</v>
      </c>
      <c r="H1871" s="6">
        <f t="shared" si="29"/>
        <v>12406.199999999999</v>
      </c>
    </row>
    <row r="1872" spans="1:8" x14ac:dyDescent="0.2">
      <c r="A1872" s="2" t="s">
        <v>1947</v>
      </c>
      <c r="B1872" s="2" t="s">
        <v>1845</v>
      </c>
      <c r="C1872" s="2" t="s">
        <v>57</v>
      </c>
      <c r="D1872" s="3">
        <v>4558</v>
      </c>
      <c r="E1872" s="4" t="s">
        <v>20</v>
      </c>
      <c r="F1872" s="5">
        <v>0.81</v>
      </c>
      <c r="G1872" s="4" t="s">
        <v>21</v>
      </c>
      <c r="H1872" s="6">
        <f t="shared" si="29"/>
        <v>3691.98</v>
      </c>
    </row>
    <row r="1873" spans="1:8" x14ac:dyDescent="0.2">
      <c r="A1873" s="2" t="s">
        <v>1948</v>
      </c>
      <c r="B1873" s="2" t="s">
        <v>1845</v>
      </c>
      <c r="C1873" s="2" t="s">
        <v>44</v>
      </c>
      <c r="D1873" s="3">
        <v>4740</v>
      </c>
      <c r="E1873" s="4" t="s">
        <v>24</v>
      </c>
      <c r="F1873" s="5">
        <v>1.38</v>
      </c>
      <c r="G1873" s="4" t="s">
        <v>25</v>
      </c>
      <c r="H1873" s="6">
        <f t="shared" si="29"/>
        <v>6541.2</v>
      </c>
    </row>
    <row r="1874" spans="1:8" x14ac:dyDescent="0.2">
      <c r="A1874" s="2" t="s">
        <v>1949</v>
      </c>
      <c r="B1874" s="2" t="s">
        <v>1845</v>
      </c>
      <c r="C1874" s="2" t="s">
        <v>19</v>
      </c>
      <c r="D1874" s="3">
        <v>552</v>
      </c>
      <c r="E1874" s="4" t="s">
        <v>20</v>
      </c>
      <c r="F1874" s="5">
        <v>1.68</v>
      </c>
      <c r="G1874" s="4" t="s">
        <v>21</v>
      </c>
      <c r="H1874" s="6">
        <f t="shared" si="29"/>
        <v>927.36</v>
      </c>
    </row>
    <row r="1875" spans="1:8" x14ac:dyDescent="0.2">
      <c r="A1875" s="2" t="s">
        <v>1950</v>
      </c>
      <c r="B1875" s="2" t="s">
        <v>1845</v>
      </c>
      <c r="C1875" s="2" t="s">
        <v>86</v>
      </c>
      <c r="D1875" s="3">
        <v>265</v>
      </c>
      <c r="E1875" s="4" t="s">
        <v>72</v>
      </c>
      <c r="F1875" s="5">
        <v>8274.81</v>
      </c>
      <c r="G1875" s="4" t="s">
        <v>73</v>
      </c>
      <c r="H1875" s="6">
        <f t="shared" si="29"/>
        <v>2192824.65</v>
      </c>
    </row>
    <row r="1876" spans="1:8" x14ac:dyDescent="0.2">
      <c r="A1876" s="2" t="s">
        <v>1951</v>
      </c>
      <c r="B1876" s="2" t="s">
        <v>1845</v>
      </c>
      <c r="C1876" s="2" t="s">
        <v>67</v>
      </c>
      <c r="D1876" s="3">
        <v>4386</v>
      </c>
      <c r="E1876" s="4" t="s">
        <v>24</v>
      </c>
      <c r="F1876" s="5">
        <v>0.55000000000000004</v>
      </c>
      <c r="G1876" s="4" t="s">
        <v>25</v>
      </c>
      <c r="H1876" s="6">
        <f t="shared" si="29"/>
        <v>2412.3000000000002</v>
      </c>
    </row>
    <row r="1877" spans="1:8" x14ac:dyDescent="0.2">
      <c r="A1877" s="2" t="s">
        <v>1952</v>
      </c>
      <c r="B1877" s="2" t="s">
        <v>1845</v>
      </c>
      <c r="C1877" s="2" t="s">
        <v>46</v>
      </c>
      <c r="D1877" s="3">
        <v>4971</v>
      </c>
      <c r="E1877" s="4" t="s">
        <v>20</v>
      </c>
      <c r="F1877" s="5">
        <v>2.78</v>
      </c>
      <c r="G1877" s="4" t="s">
        <v>21</v>
      </c>
      <c r="H1877" s="6">
        <f t="shared" si="29"/>
        <v>13819.38</v>
      </c>
    </row>
    <row r="1878" spans="1:8" x14ac:dyDescent="0.2">
      <c r="A1878" s="2" t="s">
        <v>1953</v>
      </c>
      <c r="B1878" s="2" t="s">
        <v>1845</v>
      </c>
      <c r="C1878" s="2" t="s">
        <v>147</v>
      </c>
      <c r="D1878" s="3">
        <v>967</v>
      </c>
      <c r="E1878" s="4" t="s">
        <v>53</v>
      </c>
      <c r="F1878" s="5">
        <v>14.92</v>
      </c>
      <c r="G1878" s="4" t="s">
        <v>54</v>
      </c>
      <c r="H1878" s="6">
        <f t="shared" si="29"/>
        <v>14427.64</v>
      </c>
    </row>
    <row r="1879" spans="1:8" x14ac:dyDescent="0.2">
      <c r="A1879" s="2" t="s">
        <v>1954</v>
      </c>
      <c r="B1879" s="2" t="s">
        <v>1845</v>
      </c>
      <c r="C1879" s="2" t="s">
        <v>71</v>
      </c>
      <c r="D1879" s="3">
        <v>2586</v>
      </c>
      <c r="E1879" s="4" t="s">
        <v>72</v>
      </c>
      <c r="F1879" s="5">
        <v>2825.9</v>
      </c>
      <c r="G1879" s="4" t="s">
        <v>73</v>
      </c>
      <c r="H1879" s="6">
        <f t="shared" si="29"/>
        <v>7307777.4000000004</v>
      </c>
    </row>
    <row r="1880" spans="1:8" x14ac:dyDescent="0.2">
      <c r="A1880" s="2" t="s">
        <v>1955</v>
      </c>
      <c r="B1880" s="2" t="s">
        <v>1845</v>
      </c>
      <c r="C1880" s="2" t="s">
        <v>86</v>
      </c>
      <c r="D1880" s="3">
        <v>3400</v>
      </c>
      <c r="E1880" s="4" t="s">
        <v>72</v>
      </c>
      <c r="F1880" s="5">
        <v>7921.52</v>
      </c>
      <c r="G1880" s="4" t="s">
        <v>73</v>
      </c>
      <c r="H1880" s="6">
        <f t="shared" si="29"/>
        <v>26933168</v>
      </c>
    </row>
    <row r="1881" spans="1:8" x14ac:dyDescent="0.2">
      <c r="A1881" s="2" t="s">
        <v>1956</v>
      </c>
      <c r="B1881" s="2" t="s">
        <v>1845</v>
      </c>
      <c r="C1881" s="2" t="s">
        <v>42</v>
      </c>
      <c r="D1881" s="3">
        <v>3054</v>
      </c>
      <c r="E1881" s="4" t="s">
        <v>24</v>
      </c>
      <c r="F1881" s="5">
        <v>4.8600000000000003</v>
      </c>
      <c r="G1881" s="4" t="s">
        <v>25</v>
      </c>
      <c r="H1881" s="6">
        <f t="shared" si="29"/>
        <v>14842.44</v>
      </c>
    </row>
    <row r="1882" spans="1:8" x14ac:dyDescent="0.2">
      <c r="A1882" s="2" t="s">
        <v>1957</v>
      </c>
      <c r="B1882" s="2" t="s">
        <v>1845</v>
      </c>
      <c r="C1882" s="2" t="s">
        <v>71</v>
      </c>
      <c r="D1882" s="3">
        <v>1780</v>
      </c>
      <c r="E1882" s="4" t="s">
        <v>72</v>
      </c>
      <c r="F1882" s="5">
        <v>2715.06</v>
      </c>
      <c r="G1882" s="4" t="s">
        <v>73</v>
      </c>
      <c r="H1882" s="6">
        <f t="shared" si="29"/>
        <v>4832806.8</v>
      </c>
    </row>
    <row r="1883" spans="1:8" x14ac:dyDescent="0.2">
      <c r="A1883" s="2" t="s">
        <v>1958</v>
      </c>
      <c r="B1883" s="2" t="s">
        <v>1845</v>
      </c>
      <c r="C1883" s="2" t="s">
        <v>118</v>
      </c>
      <c r="D1883" s="3">
        <v>929</v>
      </c>
      <c r="E1883" s="4" t="s">
        <v>24</v>
      </c>
      <c r="F1883" s="5">
        <v>0.66</v>
      </c>
      <c r="G1883" s="4" t="s">
        <v>25</v>
      </c>
      <c r="H1883" s="6">
        <f t="shared" si="29"/>
        <v>613.14</v>
      </c>
    </row>
    <row r="1884" spans="1:8" x14ac:dyDescent="0.2">
      <c r="A1884" s="2" t="s">
        <v>1959</v>
      </c>
      <c r="B1884" s="2" t="s">
        <v>1845</v>
      </c>
      <c r="C1884" s="2" t="s">
        <v>37</v>
      </c>
      <c r="D1884" s="3">
        <v>1665</v>
      </c>
      <c r="E1884" s="4" t="s">
        <v>38</v>
      </c>
      <c r="F1884" s="5">
        <v>4.74</v>
      </c>
      <c r="G1884" s="4" t="s">
        <v>39</v>
      </c>
      <c r="H1884" s="6">
        <f t="shared" si="29"/>
        <v>7892.1</v>
      </c>
    </row>
    <row r="1885" spans="1:8" x14ac:dyDescent="0.2">
      <c r="A1885" s="2" t="s">
        <v>1960</v>
      </c>
      <c r="B1885" s="2" t="s">
        <v>1845</v>
      </c>
      <c r="C1885" s="2" t="s">
        <v>23</v>
      </c>
      <c r="D1885" s="3">
        <v>4155</v>
      </c>
      <c r="E1885" s="4" t="s">
        <v>24</v>
      </c>
      <c r="F1885" s="5">
        <v>12.15</v>
      </c>
      <c r="G1885" s="4" t="s">
        <v>25</v>
      </c>
      <c r="H1885" s="6">
        <f t="shared" si="29"/>
        <v>50483.25</v>
      </c>
    </row>
    <row r="1886" spans="1:8" x14ac:dyDescent="0.2">
      <c r="A1886" s="2" t="s">
        <v>1961</v>
      </c>
      <c r="B1886" s="2" t="s">
        <v>1845</v>
      </c>
      <c r="C1886" s="2" t="s">
        <v>48</v>
      </c>
      <c r="D1886" s="3">
        <v>4106</v>
      </c>
      <c r="E1886" s="4" t="s">
        <v>24</v>
      </c>
      <c r="F1886" s="5">
        <v>7.0000000000000007E-2</v>
      </c>
      <c r="G1886" s="4" t="s">
        <v>25</v>
      </c>
      <c r="H1886" s="6">
        <f t="shared" si="29"/>
        <v>287.42</v>
      </c>
    </row>
    <row r="1887" spans="1:8" x14ac:dyDescent="0.2">
      <c r="A1887" s="2" t="s">
        <v>1962</v>
      </c>
      <c r="B1887" s="2" t="s">
        <v>1845</v>
      </c>
      <c r="C1887" s="2" t="s">
        <v>57</v>
      </c>
      <c r="D1887" s="3">
        <v>3970</v>
      </c>
      <c r="E1887" s="4" t="s">
        <v>20</v>
      </c>
      <c r="F1887" s="5">
        <v>0.89</v>
      </c>
      <c r="G1887" s="4" t="s">
        <v>21</v>
      </c>
      <c r="H1887" s="6">
        <f t="shared" si="29"/>
        <v>3533.3</v>
      </c>
    </row>
    <row r="1888" spans="1:8" x14ac:dyDescent="0.2">
      <c r="A1888" s="2" t="s">
        <v>1963</v>
      </c>
      <c r="B1888" s="2" t="s">
        <v>1845</v>
      </c>
      <c r="C1888" s="2" t="s">
        <v>78</v>
      </c>
      <c r="D1888" s="3">
        <v>2552</v>
      </c>
      <c r="E1888" s="4" t="s">
        <v>38</v>
      </c>
      <c r="F1888" s="5">
        <v>2.82</v>
      </c>
      <c r="G1888" s="4" t="s">
        <v>39</v>
      </c>
      <c r="H1888" s="6">
        <f t="shared" si="29"/>
        <v>7196.6399999999994</v>
      </c>
    </row>
    <row r="1889" spans="1:8" x14ac:dyDescent="0.2">
      <c r="A1889" s="2" t="s">
        <v>1964</v>
      </c>
      <c r="B1889" s="2" t="s">
        <v>1845</v>
      </c>
      <c r="C1889" s="2" t="s">
        <v>89</v>
      </c>
      <c r="D1889" s="3">
        <v>814</v>
      </c>
      <c r="E1889" s="4" t="s">
        <v>30</v>
      </c>
      <c r="F1889" s="5">
        <v>2.79</v>
      </c>
      <c r="G1889" s="4" t="s">
        <v>31</v>
      </c>
      <c r="H1889" s="6">
        <f t="shared" si="29"/>
        <v>2271.06</v>
      </c>
    </row>
    <row r="1890" spans="1:8" x14ac:dyDescent="0.2">
      <c r="A1890" s="2" t="s">
        <v>1965</v>
      </c>
      <c r="B1890" s="2" t="s">
        <v>1845</v>
      </c>
      <c r="C1890" s="2" t="s">
        <v>78</v>
      </c>
      <c r="D1890" s="3">
        <v>1097</v>
      </c>
      <c r="E1890" s="4" t="s">
        <v>38</v>
      </c>
      <c r="F1890" s="5">
        <v>1.85</v>
      </c>
      <c r="G1890" s="4" t="s">
        <v>39</v>
      </c>
      <c r="H1890" s="6">
        <f t="shared" si="29"/>
        <v>2029.45</v>
      </c>
    </row>
    <row r="1891" spans="1:8" x14ac:dyDescent="0.2">
      <c r="A1891" s="2" t="s">
        <v>1966</v>
      </c>
      <c r="B1891" s="2" t="s">
        <v>1967</v>
      </c>
      <c r="C1891" s="2" t="s">
        <v>37</v>
      </c>
      <c r="D1891" s="3">
        <v>3773</v>
      </c>
      <c r="E1891" s="4" t="s">
        <v>38</v>
      </c>
      <c r="F1891" s="5">
        <v>3.16</v>
      </c>
      <c r="G1891" s="4" t="s">
        <v>39</v>
      </c>
      <c r="H1891" s="6">
        <f t="shared" si="29"/>
        <v>11922.68</v>
      </c>
    </row>
    <row r="1892" spans="1:8" x14ac:dyDescent="0.2">
      <c r="A1892" s="2" t="s">
        <v>1968</v>
      </c>
      <c r="B1892" s="2" t="s">
        <v>1967</v>
      </c>
      <c r="C1892" s="2" t="s">
        <v>78</v>
      </c>
      <c r="D1892" s="3">
        <v>958</v>
      </c>
      <c r="E1892" s="4" t="s">
        <v>38</v>
      </c>
      <c r="F1892" s="5">
        <v>1.51</v>
      </c>
      <c r="G1892" s="4" t="s">
        <v>39</v>
      </c>
      <c r="H1892" s="6">
        <f t="shared" si="29"/>
        <v>1446.58</v>
      </c>
    </row>
    <row r="1893" spans="1:8" x14ac:dyDescent="0.2">
      <c r="A1893" s="2" t="s">
        <v>1969</v>
      </c>
      <c r="B1893" s="2" t="s">
        <v>1967</v>
      </c>
      <c r="C1893" s="2" t="s">
        <v>37</v>
      </c>
      <c r="D1893" s="3">
        <v>4878</v>
      </c>
      <c r="E1893" s="4" t="s">
        <v>38</v>
      </c>
      <c r="F1893" s="5">
        <v>4.62</v>
      </c>
      <c r="G1893" s="4" t="s">
        <v>39</v>
      </c>
      <c r="H1893" s="6">
        <f t="shared" si="29"/>
        <v>22536.36</v>
      </c>
    </row>
    <row r="1894" spans="1:8" x14ac:dyDescent="0.2">
      <c r="A1894" s="2" t="s">
        <v>1970</v>
      </c>
      <c r="B1894" s="2" t="s">
        <v>1967</v>
      </c>
      <c r="C1894" s="2" t="s">
        <v>57</v>
      </c>
      <c r="D1894" s="3">
        <v>3834</v>
      </c>
      <c r="E1894" s="4" t="s">
        <v>20</v>
      </c>
      <c r="F1894" s="5">
        <v>0.96</v>
      </c>
      <c r="G1894" s="4" t="s">
        <v>21</v>
      </c>
      <c r="H1894" s="6">
        <f t="shared" si="29"/>
        <v>3680.64</v>
      </c>
    </row>
    <row r="1895" spans="1:8" x14ac:dyDescent="0.2">
      <c r="A1895" s="2" t="s">
        <v>1971</v>
      </c>
      <c r="B1895" s="2" t="s">
        <v>1967</v>
      </c>
      <c r="C1895" s="2" t="s">
        <v>50</v>
      </c>
      <c r="D1895" s="3">
        <v>4274</v>
      </c>
      <c r="E1895" s="4" t="s">
        <v>20</v>
      </c>
      <c r="F1895" s="5">
        <v>1.1599999999999999</v>
      </c>
      <c r="G1895" s="4" t="s">
        <v>21</v>
      </c>
      <c r="H1895" s="6">
        <f t="shared" si="29"/>
        <v>4957.8399999999992</v>
      </c>
    </row>
    <row r="1896" spans="1:8" x14ac:dyDescent="0.2">
      <c r="A1896" s="2" t="s">
        <v>1972</v>
      </c>
      <c r="B1896" s="2" t="s">
        <v>1967</v>
      </c>
      <c r="C1896" s="2" t="s">
        <v>71</v>
      </c>
      <c r="D1896" s="3">
        <v>194</v>
      </c>
      <c r="E1896" s="4" t="s">
        <v>72</v>
      </c>
      <c r="F1896" s="5">
        <v>2746.54</v>
      </c>
      <c r="G1896" s="4" t="s">
        <v>73</v>
      </c>
      <c r="H1896" s="6">
        <f t="shared" si="29"/>
        <v>532828.76</v>
      </c>
    </row>
    <row r="1897" spans="1:8" x14ac:dyDescent="0.2">
      <c r="A1897" s="2" t="s">
        <v>1973</v>
      </c>
      <c r="B1897" s="2" t="s">
        <v>1967</v>
      </c>
      <c r="C1897" s="2" t="s">
        <v>71</v>
      </c>
      <c r="D1897" s="3">
        <v>1729</v>
      </c>
      <c r="E1897" s="4" t="s">
        <v>72</v>
      </c>
      <c r="F1897" s="5">
        <v>2592.5300000000002</v>
      </c>
      <c r="G1897" s="4" t="s">
        <v>73</v>
      </c>
      <c r="H1897" s="6">
        <f t="shared" si="29"/>
        <v>4482484.37</v>
      </c>
    </row>
    <row r="1898" spans="1:8" x14ac:dyDescent="0.2">
      <c r="A1898" s="2" t="s">
        <v>1974</v>
      </c>
      <c r="B1898" s="2" t="s">
        <v>1967</v>
      </c>
      <c r="C1898" s="2" t="s">
        <v>44</v>
      </c>
      <c r="D1898" s="3">
        <v>2357</v>
      </c>
      <c r="E1898" s="4" t="s">
        <v>24</v>
      </c>
      <c r="F1898" s="5">
        <v>1.0900000000000001</v>
      </c>
      <c r="G1898" s="4" t="s">
        <v>25</v>
      </c>
      <c r="H1898" s="6">
        <f t="shared" si="29"/>
        <v>2569.13</v>
      </c>
    </row>
    <row r="1899" spans="1:8" x14ac:dyDescent="0.2">
      <c r="A1899" s="2" t="s">
        <v>1975</v>
      </c>
      <c r="B1899" s="2" t="s">
        <v>1967</v>
      </c>
      <c r="C1899" s="2" t="s">
        <v>57</v>
      </c>
      <c r="D1899" s="3">
        <v>3623</v>
      </c>
      <c r="E1899" s="4" t="s">
        <v>20</v>
      </c>
      <c r="F1899" s="5">
        <v>0.87</v>
      </c>
      <c r="G1899" s="4" t="s">
        <v>21</v>
      </c>
      <c r="H1899" s="6">
        <f t="shared" si="29"/>
        <v>3152.0099999999998</v>
      </c>
    </row>
    <row r="1900" spans="1:8" x14ac:dyDescent="0.2">
      <c r="A1900" s="2" t="s">
        <v>1976</v>
      </c>
      <c r="B1900" s="2" t="s">
        <v>1967</v>
      </c>
      <c r="C1900" s="2" t="s">
        <v>86</v>
      </c>
      <c r="D1900" s="3">
        <v>1233</v>
      </c>
      <c r="E1900" s="4" t="s">
        <v>72</v>
      </c>
      <c r="F1900" s="5">
        <v>8020.49</v>
      </c>
      <c r="G1900" s="4" t="s">
        <v>73</v>
      </c>
      <c r="H1900" s="6">
        <f t="shared" si="29"/>
        <v>9889264.1699999999</v>
      </c>
    </row>
    <row r="1901" spans="1:8" x14ac:dyDescent="0.2">
      <c r="A1901" s="2" t="s">
        <v>1977</v>
      </c>
      <c r="B1901" s="2" t="s">
        <v>1967</v>
      </c>
      <c r="C1901" s="2" t="s">
        <v>50</v>
      </c>
      <c r="D1901" s="3">
        <v>134</v>
      </c>
      <c r="E1901" s="4" t="s">
        <v>20</v>
      </c>
      <c r="F1901" s="5">
        <v>1.27</v>
      </c>
      <c r="G1901" s="4" t="s">
        <v>21</v>
      </c>
      <c r="H1901" s="6">
        <f t="shared" si="29"/>
        <v>170.18</v>
      </c>
    </row>
    <row r="1902" spans="1:8" x14ac:dyDescent="0.2">
      <c r="A1902" s="2" t="s">
        <v>1978</v>
      </c>
      <c r="B1902" s="2" t="s">
        <v>1967</v>
      </c>
      <c r="C1902" s="2" t="s">
        <v>29</v>
      </c>
      <c r="D1902" s="3">
        <v>4221</v>
      </c>
      <c r="E1902" s="4" t="s">
        <v>30</v>
      </c>
      <c r="F1902" s="5">
        <v>1.1200000000000001</v>
      </c>
      <c r="G1902" s="4" t="s">
        <v>31</v>
      </c>
      <c r="H1902" s="6">
        <f t="shared" si="29"/>
        <v>4727.5200000000004</v>
      </c>
    </row>
    <row r="1903" spans="1:8" x14ac:dyDescent="0.2">
      <c r="A1903" s="2" t="s">
        <v>1979</v>
      </c>
      <c r="B1903" s="2" t="s">
        <v>1967</v>
      </c>
      <c r="C1903" s="2" t="s">
        <v>29</v>
      </c>
      <c r="D1903" s="3">
        <v>2879</v>
      </c>
      <c r="E1903" s="4" t="s">
        <v>30</v>
      </c>
      <c r="F1903" s="5">
        <v>1.66</v>
      </c>
      <c r="G1903" s="4" t="s">
        <v>31</v>
      </c>
      <c r="H1903" s="6">
        <f t="shared" si="29"/>
        <v>4779.1399999999994</v>
      </c>
    </row>
    <row r="1904" spans="1:8" x14ac:dyDescent="0.2">
      <c r="A1904" s="2" t="s">
        <v>1980</v>
      </c>
      <c r="B1904" s="2" t="s">
        <v>1967</v>
      </c>
      <c r="C1904" s="2" t="s">
        <v>86</v>
      </c>
      <c r="D1904" s="3">
        <v>1169</v>
      </c>
      <c r="E1904" s="4" t="s">
        <v>72</v>
      </c>
      <c r="F1904" s="5">
        <v>9120.59</v>
      </c>
      <c r="G1904" s="4" t="s">
        <v>73</v>
      </c>
      <c r="H1904" s="6">
        <f t="shared" si="29"/>
        <v>10661969.710000001</v>
      </c>
    </row>
    <row r="1905" spans="1:8" x14ac:dyDescent="0.2">
      <c r="A1905" s="2" t="s">
        <v>1981</v>
      </c>
      <c r="B1905" s="2" t="s">
        <v>1967</v>
      </c>
      <c r="C1905" s="2" t="s">
        <v>71</v>
      </c>
      <c r="D1905" s="3">
        <v>4712</v>
      </c>
      <c r="E1905" s="4" t="s">
        <v>72</v>
      </c>
      <c r="F1905" s="5">
        <v>2546.9</v>
      </c>
      <c r="G1905" s="4" t="s">
        <v>73</v>
      </c>
      <c r="H1905" s="6">
        <f t="shared" si="29"/>
        <v>12000992.800000001</v>
      </c>
    </row>
    <row r="1906" spans="1:8" x14ac:dyDescent="0.2">
      <c r="A1906" s="2" t="s">
        <v>1982</v>
      </c>
      <c r="B1906" s="2" t="s">
        <v>1967</v>
      </c>
      <c r="C1906" s="2" t="s">
        <v>27</v>
      </c>
      <c r="D1906" s="3">
        <v>2560</v>
      </c>
      <c r="E1906" s="4" t="s">
        <v>20</v>
      </c>
      <c r="F1906" s="5">
        <v>1.94</v>
      </c>
      <c r="G1906" s="4" t="s">
        <v>21</v>
      </c>
      <c r="H1906" s="6">
        <f t="shared" si="29"/>
        <v>4966.3999999999996</v>
      </c>
    </row>
    <row r="1907" spans="1:8" x14ac:dyDescent="0.2">
      <c r="A1907" s="2" t="s">
        <v>1983</v>
      </c>
      <c r="B1907" s="2" t="s">
        <v>1967</v>
      </c>
      <c r="C1907" s="2" t="s">
        <v>57</v>
      </c>
      <c r="D1907" s="3">
        <v>4438</v>
      </c>
      <c r="E1907" s="4" t="s">
        <v>20</v>
      </c>
      <c r="F1907" s="5">
        <v>0.78</v>
      </c>
      <c r="G1907" s="4" t="s">
        <v>21</v>
      </c>
      <c r="H1907" s="6">
        <f t="shared" si="29"/>
        <v>3461.6400000000003</v>
      </c>
    </row>
    <row r="1908" spans="1:8" x14ac:dyDescent="0.2">
      <c r="A1908" s="2" t="s">
        <v>1984</v>
      </c>
      <c r="B1908" s="2" t="s">
        <v>1967</v>
      </c>
      <c r="C1908" s="2" t="s">
        <v>89</v>
      </c>
      <c r="D1908" s="3">
        <v>247</v>
      </c>
      <c r="E1908" s="4" t="s">
        <v>30</v>
      </c>
      <c r="F1908" s="5">
        <v>2.36</v>
      </c>
      <c r="G1908" s="4" t="s">
        <v>31</v>
      </c>
      <c r="H1908" s="6">
        <f t="shared" si="29"/>
        <v>582.91999999999996</v>
      </c>
    </row>
    <row r="1909" spans="1:8" x14ac:dyDescent="0.2">
      <c r="A1909" s="2" t="s">
        <v>1985</v>
      </c>
      <c r="B1909" s="2" t="s">
        <v>1967</v>
      </c>
      <c r="C1909" s="2" t="s">
        <v>37</v>
      </c>
      <c r="D1909" s="3">
        <v>877</v>
      </c>
      <c r="E1909" s="4" t="s">
        <v>38</v>
      </c>
      <c r="F1909" s="5">
        <v>3.15</v>
      </c>
      <c r="G1909" s="4" t="s">
        <v>39</v>
      </c>
      <c r="H1909" s="6">
        <f t="shared" si="29"/>
        <v>2762.5499999999997</v>
      </c>
    </row>
    <row r="1910" spans="1:8" x14ac:dyDescent="0.2">
      <c r="A1910" s="2" t="s">
        <v>1986</v>
      </c>
      <c r="B1910" s="2" t="s">
        <v>1967</v>
      </c>
      <c r="C1910" s="2" t="s">
        <v>27</v>
      </c>
      <c r="D1910" s="3">
        <v>3503</v>
      </c>
      <c r="E1910" s="4" t="s">
        <v>20</v>
      </c>
      <c r="F1910" s="5">
        <v>1.67</v>
      </c>
      <c r="G1910" s="4" t="s">
        <v>21</v>
      </c>
      <c r="H1910" s="6">
        <f t="shared" si="29"/>
        <v>5850.0099999999993</v>
      </c>
    </row>
    <row r="1911" spans="1:8" x14ac:dyDescent="0.2">
      <c r="A1911" s="2" t="s">
        <v>1987</v>
      </c>
      <c r="B1911" s="2" t="s">
        <v>1967</v>
      </c>
      <c r="C1911" s="2" t="s">
        <v>147</v>
      </c>
      <c r="D1911" s="3">
        <v>4865</v>
      </c>
      <c r="E1911" s="4" t="s">
        <v>53</v>
      </c>
      <c r="F1911" s="5">
        <v>13.04</v>
      </c>
      <c r="G1911" s="4" t="s">
        <v>54</v>
      </c>
      <c r="H1911" s="6">
        <f t="shared" si="29"/>
        <v>63439.6</v>
      </c>
    </row>
    <row r="1912" spans="1:8" x14ac:dyDescent="0.2">
      <c r="A1912" s="2" t="s">
        <v>1988</v>
      </c>
      <c r="B1912" s="2" t="s">
        <v>1967</v>
      </c>
      <c r="C1912" s="2" t="s">
        <v>23</v>
      </c>
      <c r="D1912" s="3">
        <v>2923</v>
      </c>
      <c r="E1912" s="4" t="s">
        <v>24</v>
      </c>
      <c r="F1912" s="5">
        <v>13.87</v>
      </c>
      <c r="G1912" s="4" t="s">
        <v>25</v>
      </c>
      <c r="H1912" s="6">
        <f t="shared" si="29"/>
        <v>40542.009999999995</v>
      </c>
    </row>
    <row r="1913" spans="1:8" x14ac:dyDescent="0.2">
      <c r="A1913" s="2" t="s">
        <v>1989</v>
      </c>
      <c r="B1913" s="2" t="s">
        <v>1967</v>
      </c>
      <c r="C1913" s="2" t="s">
        <v>44</v>
      </c>
      <c r="D1913" s="3">
        <v>4380</v>
      </c>
      <c r="E1913" s="4" t="s">
        <v>24</v>
      </c>
      <c r="F1913" s="5">
        <v>0.95</v>
      </c>
      <c r="G1913" s="4" t="s">
        <v>25</v>
      </c>
      <c r="H1913" s="6">
        <f t="shared" si="29"/>
        <v>4161</v>
      </c>
    </row>
    <row r="1914" spans="1:8" x14ac:dyDescent="0.2">
      <c r="A1914" s="2" t="s">
        <v>1990</v>
      </c>
      <c r="B1914" s="2" t="s">
        <v>1967</v>
      </c>
      <c r="C1914" s="2" t="s">
        <v>23</v>
      </c>
      <c r="D1914" s="3">
        <v>4661</v>
      </c>
      <c r="E1914" s="4" t="s">
        <v>24</v>
      </c>
      <c r="F1914" s="5">
        <v>12.79</v>
      </c>
      <c r="G1914" s="4" t="s">
        <v>25</v>
      </c>
      <c r="H1914" s="6">
        <f t="shared" si="29"/>
        <v>59614.189999999995</v>
      </c>
    </row>
    <row r="1915" spans="1:8" x14ac:dyDescent="0.2">
      <c r="A1915" s="2" t="s">
        <v>1991</v>
      </c>
      <c r="B1915" s="2" t="s">
        <v>1967</v>
      </c>
      <c r="C1915" s="2" t="s">
        <v>23</v>
      </c>
      <c r="D1915" s="3">
        <v>806</v>
      </c>
      <c r="E1915" s="4" t="s">
        <v>24</v>
      </c>
      <c r="F1915" s="5">
        <v>14.73</v>
      </c>
      <c r="G1915" s="4" t="s">
        <v>25</v>
      </c>
      <c r="H1915" s="6">
        <f t="shared" si="29"/>
        <v>11872.380000000001</v>
      </c>
    </row>
    <row r="1916" spans="1:8" x14ac:dyDescent="0.2">
      <c r="A1916" s="2" t="s">
        <v>1992</v>
      </c>
      <c r="B1916" s="2" t="s">
        <v>1967</v>
      </c>
      <c r="C1916" s="2" t="s">
        <v>23</v>
      </c>
      <c r="D1916" s="3">
        <v>3864</v>
      </c>
      <c r="E1916" s="4" t="s">
        <v>24</v>
      </c>
      <c r="F1916" s="5">
        <v>13.39</v>
      </c>
      <c r="G1916" s="4" t="s">
        <v>25</v>
      </c>
      <c r="H1916" s="6">
        <f t="shared" si="29"/>
        <v>51738.96</v>
      </c>
    </row>
    <row r="1917" spans="1:8" x14ac:dyDescent="0.2">
      <c r="A1917" s="2" t="s">
        <v>1993</v>
      </c>
      <c r="B1917" s="2" t="s">
        <v>1967</v>
      </c>
      <c r="C1917" s="2" t="s">
        <v>42</v>
      </c>
      <c r="D1917" s="3">
        <v>1187</v>
      </c>
      <c r="E1917" s="4" t="s">
        <v>24</v>
      </c>
      <c r="F1917" s="5">
        <v>6.08</v>
      </c>
      <c r="G1917" s="4" t="s">
        <v>25</v>
      </c>
      <c r="H1917" s="6">
        <f t="shared" si="29"/>
        <v>7216.96</v>
      </c>
    </row>
    <row r="1918" spans="1:8" x14ac:dyDescent="0.2">
      <c r="A1918" s="2" t="s">
        <v>1994</v>
      </c>
      <c r="B1918" s="2" t="s">
        <v>1967</v>
      </c>
      <c r="C1918" s="2" t="s">
        <v>147</v>
      </c>
      <c r="D1918" s="3">
        <v>2123</v>
      </c>
      <c r="E1918" s="4" t="s">
        <v>53</v>
      </c>
      <c r="F1918" s="5">
        <v>15.3</v>
      </c>
      <c r="G1918" s="4" t="s">
        <v>54</v>
      </c>
      <c r="H1918" s="6">
        <f t="shared" si="29"/>
        <v>32481.9</v>
      </c>
    </row>
    <row r="1919" spans="1:8" x14ac:dyDescent="0.2">
      <c r="A1919" s="2" t="s">
        <v>1995</v>
      </c>
      <c r="B1919" s="2" t="s">
        <v>1967</v>
      </c>
      <c r="C1919" s="2" t="s">
        <v>67</v>
      </c>
      <c r="D1919" s="3">
        <v>1512</v>
      </c>
      <c r="E1919" s="4" t="s">
        <v>24</v>
      </c>
      <c r="F1919" s="5">
        <v>0.51</v>
      </c>
      <c r="G1919" s="4" t="s">
        <v>25</v>
      </c>
      <c r="H1919" s="6">
        <f t="shared" si="29"/>
        <v>771.12</v>
      </c>
    </row>
    <row r="1920" spans="1:8" x14ac:dyDescent="0.2">
      <c r="A1920" s="2" t="s">
        <v>1996</v>
      </c>
      <c r="B1920" s="2" t="s">
        <v>1967</v>
      </c>
      <c r="C1920" s="2" t="s">
        <v>57</v>
      </c>
      <c r="D1920" s="3">
        <v>2670</v>
      </c>
      <c r="E1920" s="4" t="s">
        <v>20</v>
      </c>
      <c r="F1920" s="5">
        <v>0.78</v>
      </c>
      <c r="G1920" s="4" t="s">
        <v>21</v>
      </c>
      <c r="H1920" s="6">
        <f t="shared" si="29"/>
        <v>2082.6</v>
      </c>
    </row>
    <row r="1921" spans="1:8" x14ac:dyDescent="0.2">
      <c r="A1921" s="2" t="s">
        <v>1997</v>
      </c>
      <c r="B1921" s="2" t="s">
        <v>1967</v>
      </c>
      <c r="C1921" s="2" t="s">
        <v>33</v>
      </c>
      <c r="D1921" s="3">
        <v>545</v>
      </c>
      <c r="E1921" s="4" t="s">
        <v>34</v>
      </c>
      <c r="F1921" s="5">
        <v>4.6900000000000004</v>
      </c>
      <c r="G1921" s="4" t="s">
        <v>35</v>
      </c>
      <c r="H1921" s="6">
        <f t="shared" si="29"/>
        <v>2556.0500000000002</v>
      </c>
    </row>
    <row r="1922" spans="1:8" x14ac:dyDescent="0.2">
      <c r="A1922" s="2" t="s">
        <v>1998</v>
      </c>
      <c r="B1922" s="2" t="s">
        <v>1967</v>
      </c>
      <c r="C1922" s="2" t="s">
        <v>19</v>
      </c>
      <c r="D1922" s="3">
        <v>3931</v>
      </c>
      <c r="E1922" s="4" t="s">
        <v>20</v>
      </c>
      <c r="F1922" s="5">
        <v>1.38</v>
      </c>
      <c r="G1922" s="4" t="s">
        <v>21</v>
      </c>
      <c r="H1922" s="6">
        <f t="shared" ref="H1922:H1985" si="30">D1922*F1922</f>
        <v>5424.78</v>
      </c>
    </row>
    <row r="1923" spans="1:8" x14ac:dyDescent="0.2">
      <c r="A1923" s="2" t="s">
        <v>1999</v>
      </c>
      <c r="B1923" s="2" t="s">
        <v>1967</v>
      </c>
      <c r="C1923" s="2" t="s">
        <v>118</v>
      </c>
      <c r="D1923" s="3">
        <v>2322</v>
      </c>
      <c r="E1923" s="4" t="s">
        <v>24</v>
      </c>
      <c r="F1923" s="5">
        <v>0.94</v>
      </c>
      <c r="G1923" s="4" t="s">
        <v>25</v>
      </c>
      <c r="H1923" s="6">
        <f t="shared" si="30"/>
        <v>2182.6799999999998</v>
      </c>
    </row>
    <row r="1924" spans="1:8" x14ac:dyDescent="0.2">
      <c r="A1924" s="2" t="s">
        <v>2000</v>
      </c>
      <c r="B1924" s="2" t="s">
        <v>1967</v>
      </c>
      <c r="C1924" s="2" t="s">
        <v>147</v>
      </c>
      <c r="D1924" s="3">
        <v>4717</v>
      </c>
      <c r="E1924" s="4" t="s">
        <v>53</v>
      </c>
      <c r="F1924" s="5">
        <v>9.02</v>
      </c>
      <c r="G1924" s="4" t="s">
        <v>54</v>
      </c>
      <c r="H1924" s="6">
        <f t="shared" si="30"/>
        <v>42547.34</v>
      </c>
    </row>
    <row r="1925" spans="1:8" x14ac:dyDescent="0.2">
      <c r="A1925" s="2" t="s">
        <v>2001</v>
      </c>
      <c r="B1925" s="2" t="s">
        <v>1967</v>
      </c>
      <c r="C1925" s="2" t="s">
        <v>50</v>
      </c>
      <c r="D1925" s="3">
        <v>3333</v>
      </c>
      <c r="E1925" s="4" t="s">
        <v>20</v>
      </c>
      <c r="F1925" s="5">
        <v>1.19</v>
      </c>
      <c r="G1925" s="4" t="s">
        <v>21</v>
      </c>
      <c r="H1925" s="6">
        <f t="shared" si="30"/>
        <v>3966.27</v>
      </c>
    </row>
    <row r="1926" spans="1:8" x14ac:dyDescent="0.2">
      <c r="A1926" s="2" t="s">
        <v>2002</v>
      </c>
      <c r="B1926" s="2" t="s">
        <v>1967</v>
      </c>
      <c r="C1926" s="2" t="s">
        <v>50</v>
      </c>
      <c r="D1926" s="3">
        <v>2679</v>
      </c>
      <c r="E1926" s="4" t="s">
        <v>20</v>
      </c>
      <c r="F1926" s="5">
        <v>1.03</v>
      </c>
      <c r="G1926" s="4" t="s">
        <v>21</v>
      </c>
      <c r="H1926" s="6">
        <f t="shared" si="30"/>
        <v>2759.37</v>
      </c>
    </row>
    <row r="1927" spans="1:8" x14ac:dyDescent="0.2">
      <c r="A1927" s="2" t="s">
        <v>2003</v>
      </c>
      <c r="B1927" s="2" t="s">
        <v>1967</v>
      </c>
      <c r="C1927" s="2" t="s">
        <v>27</v>
      </c>
      <c r="D1927" s="3">
        <v>2484</v>
      </c>
      <c r="E1927" s="4" t="s">
        <v>20</v>
      </c>
      <c r="F1927" s="5">
        <v>1.84</v>
      </c>
      <c r="G1927" s="4" t="s">
        <v>21</v>
      </c>
      <c r="H1927" s="6">
        <f t="shared" si="30"/>
        <v>4570.5600000000004</v>
      </c>
    </row>
    <row r="1928" spans="1:8" x14ac:dyDescent="0.2">
      <c r="A1928" s="2" t="s">
        <v>2004</v>
      </c>
      <c r="B1928" s="2" t="s">
        <v>1967</v>
      </c>
      <c r="C1928" s="2" t="s">
        <v>67</v>
      </c>
      <c r="D1928" s="3">
        <v>4847</v>
      </c>
      <c r="E1928" s="4" t="s">
        <v>24</v>
      </c>
      <c r="F1928" s="5">
        <v>0.42</v>
      </c>
      <c r="G1928" s="4" t="s">
        <v>25</v>
      </c>
      <c r="H1928" s="6">
        <f t="shared" si="30"/>
        <v>2035.74</v>
      </c>
    </row>
    <row r="1929" spans="1:8" x14ac:dyDescent="0.2">
      <c r="A1929" s="2" t="s">
        <v>2005</v>
      </c>
      <c r="B1929" s="2" t="s">
        <v>1967</v>
      </c>
      <c r="C1929" s="2" t="s">
        <v>147</v>
      </c>
      <c r="D1929" s="3">
        <v>2006</v>
      </c>
      <c r="E1929" s="4" t="s">
        <v>53</v>
      </c>
      <c r="F1929" s="5">
        <v>12.38</v>
      </c>
      <c r="G1929" s="4" t="s">
        <v>54</v>
      </c>
      <c r="H1929" s="6">
        <f t="shared" si="30"/>
        <v>24834.280000000002</v>
      </c>
    </row>
    <row r="1930" spans="1:8" x14ac:dyDescent="0.2">
      <c r="A1930" s="2" t="s">
        <v>2006</v>
      </c>
      <c r="B1930" s="2" t="s">
        <v>1967</v>
      </c>
      <c r="C1930" s="2" t="s">
        <v>48</v>
      </c>
      <c r="D1930" s="3">
        <v>3154</v>
      </c>
      <c r="E1930" s="4" t="s">
        <v>24</v>
      </c>
      <c r="F1930" s="5">
        <v>0.06</v>
      </c>
      <c r="G1930" s="4" t="s">
        <v>25</v>
      </c>
      <c r="H1930" s="6">
        <f t="shared" si="30"/>
        <v>189.23999999999998</v>
      </c>
    </row>
    <row r="1931" spans="1:8" x14ac:dyDescent="0.2">
      <c r="A1931" s="2" t="s">
        <v>2007</v>
      </c>
      <c r="B1931" s="2" t="s">
        <v>1967</v>
      </c>
      <c r="C1931" s="2" t="s">
        <v>44</v>
      </c>
      <c r="D1931" s="3">
        <v>4851</v>
      </c>
      <c r="E1931" s="4" t="s">
        <v>24</v>
      </c>
      <c r="F1931" s="5">
        <v>1.2</v>
      </c>
      <c r="G1931" s="4" t="s">
        <v>25</v>
      </c>
      <c r="H1931" s="6">
        <f t="shared" si="30"/>
        <v>5821.2</v>
      </c>
    </row>
    <row r="1932" spans="1:8" x14ac:dyDescent="0.2">
      <c r="A1932" s="2" t="s">
        <v>2008</v>
      </c>
      <c r="B1932" s="2" t="s">
        <v>1967</v>
      </c>
      <c r="C1932" s="2" t="s">
        <v>52</v>
      </c>
      <c r="D1932" s="3">
        <v>4656</v>
      </c>
      <c r="E1932" s="4" t="s">
        <v>53</v>
      </c>
      <c r="F1932" s="5">
        <v>12.94</v>
      </c>
      <c r="G1932" s="4" t="s">
        <v>54</v>
      </c>
      <c r="H1932" s="6">
        <f t="shared" si="30"/>
        <v>60248.639999999999</v>
      </c>
    </row>
    <row r="1933" spans="1:8" x14ac:dyDescent="0.2">
      <c r="A1933" s="2" t="s">
        <v>2009</v>
      </c>
      <c r="B1933" s="2" t="s">
        <v>1967</v>
      </c>
      <c r="C1933" s="2" t="s">
        <v>29</v>
      </c>
      <c r="D1933" s="3">
        <v>1944</v>
      </c>
      <c r="E1933" s="4" t="s">
        <v>30</v>
      </c>
      <c r="F1933" s="5">
        <v>1.21</v>
      </c>
      <c r="G1933" s="4" t="s">
        <v>31</v>
      </c>
      <c r="H1933" s="6">
        <f t="shared" si="30"/>
        <v>2352.2399999999998</v>
      </c>
    </row>
    <row r="1934" spans="1:8" x14ac:dyDescent="0.2">
      <c r="A1934" s="2" t="s">
        <v>2010</v>
      </c>
      <c r="B1934" s="2" t="s">
        <v>1967</v>
      </c>
      <c r="C1934" s="2" t="s">
        <v>27</v>
      </c>
      <c r="D1934" s="3">
        <v>4713</v>
      </c>
      <c r="E1934" s="4" t="s">
        <v>20</v>
      </c>
      <c r="F1934" s="5">
        <v>2.2000000000000002</v>
      </c>
      <c r="G1934" s="4" t="s">
        <v>21</v>
      </c>
      <c r="H1934" s="6">
        <f t="shared" si="30"/>
        <v>10368.6</v>
      </c>
    </row>
    <row r="1935" spans="1:8" x14ac:dyDescent="0.2">
      <c r="A1935" s="2" t="s">
        <v>2011</v>
      </c>
      <c r="B1935" s="2" t="s">
        <v>1967</v>
      </c>
      <c r="C1935" s="2" t="s">
        <v>50</v>
      </c>
      <c r="D1935" s="3">
        <v>4861</v>
      </c>
      <c r="E1935" s="4" t="s">
        <v>20</v>
      </c>
      <c r="F1935" s="5">
        <v>1.06</v>
      </c>
      <c r="G1935" s="4" t="s">
        <v>21</v>
      </c>
      <c r="H1935" s="6">
        <f t="shared" si="30"/>
        <v>5152.66</v>
      </c>
    </row>
    <row r="1936" spans="1:8" x14ac:dyDescent="0.2">
      <c r="A1936" s="2" t="s">
        <v>2012</v>
      </c>
      <c r="B1936" s="2" t="s">
        <v>1967</v>
      </c>
      <c r="C1936" s="2" t="s">
        <v>57</v>
      </c>
      <c r="D1936" s="3">
        <v>4557</v>
      </c>
      <c r="E1936" s="4" t="s">
        <v>20</v>
      </c>
      <c r="F1936" s="5">
        <v>0.64</v>
      </c>
      <c r="G1936" s="4" t="s">
        <v>21</v>
      </c>
      <c r="H1936" s="6">
        <f t="shared" si="30"/>
        <v>2916.48</v>
      </c>
    </row>
    <row r="1937" spans="1:8" x14ac:dyDescent="0.2">
      <c r="A1937" s="2" t="s">
        <v>2013</v>
      </c>
      <c r="B1937" s="2" t="s">
        <v>1967</v>
      </c>
      <c r="C1937" s="2" t="s">
        <v>23</v>
      </c>
      <c r="D1937" s="3">
        <v>1453</v>
      </c>
      <c r="E1937" s="4" t="s">
        <v>24</v>
      </c>
      <c r="F1937" s="5">
        <v>13.85</v>
      </c>
      <c r="G1937" s="4" t="s">
        <v>25</v>
      </c>
      <c r="H1937" s="6">
        <f t="shared" si="30"/>
        <v>20124.05</v>
      </c>
    </row>
    <row r="1938" spans="1:8" x14ac:dyDescent="0.2">
      <c r="A1938" s="2" t="s">
        <v>2014</v>
      </c>
      <c r="B1938" s="2" t="s">
        <v>1967</v>
      </c>
      <c r="C1938" s="2" t="s">
        <v>67</v>
      </c>
      <c r="D1938" s="3">
        <v>580</v>
      </c>
      <c r="E1938" s="4" t="s">
        <v>24</v>
      </c>
      <c r="F1938" s="5">
        <v>0.48</v>
      </c>
      <c r="G1938" s="4" t="s">
        <v>25</v>
      </c>
      <c r="H1938" s="6">
        <f t="shared" si="30"/>
        <v>278.39999999999998</v>
      </c>
    </row>
    <row r="1939" spans="1:8" x14ac:dyDescent="0.2">
      <c r="A1939" s="2" t="s">
        <v>2015</v>
      </c>
      <c r="B1939" s="2" t="s">
        <v>1967</v>
      </c>
      <c r="C1939" s="2" t="s">
        <v>147</v>
      </c>
      <c r="D1939" s="3">
        <v>3114</v>
      </c>
      <c r="E1939" s="4" t="s">
        <v>53</v>
      </c>
      <c r="F1939" s="5">
        <v>10.62</v>
      </c>
      <c r="G1939" s="4" t="s">
        <v>54</v>
      </c>
      <c r="H1939" s="6">
        <f t="shared" si="30"/>
        <v>33070.68</v>
      </c>
    </row>
    <row r="1940" spans="1:8" x14ac:dyDescent="0.2">
      <c r="A1940" s="2" t="s">
        <v>2016</v>
      </c>
      <c r="B1940" s="2" t="s">
        <v>1967</v>
      </c>
      <c r="C1940" s="2" t="s">
        <v>37</v>
      </c>
      <c r="D1940" s="3">
        <v>751</v>
      </c>
      <c r="E1940" s="4" t="s">
        <v>38</v>
      </c>
      <c r="F1940" s="5">
        <v>2.65</v>
      </c>
      <c r="G1940" s="4" t="s">
        <v>39</v>
      </c>
      <c r="H1940" s="6">
        <f t="shared" si="30"/>
        <v>1990.1499999999999</v>
      </c>
    </row>
    <row r="1941" spans="1:8" x14ac:dyDescent="0.2">
      <c r="A1941" s="2" t="s">
        <v>2017</v>
      </c>
      <c r="B1941" s="2" t="s">
        <v>1967</v>
      </c>
      <c r="C1941" s="2" t="s">
        <v>89</v>
      </c>
      <c r="D1941" s="3">
        <v>4767</v>
      </c>
      <c r="E1941" s="4" t="s">
        <v>30</v>
      </c>
      <c r="F1941" s="5">
        <v>2.88</v>
      </c>
      <c r="G1941" s="4" t="s">
        <v>31</v>
      </c>
      <c r="H1941" s="6">
        <f t="shared" si="30"/>
        <v>13728.96</v>
      </c>
    </row>
    <row r="1942" spans="1:8" x14ac:dyDescent="0.2">
      <c r="A1942" s="2" t="s">
        <v>2018</v>
      </c>
      <c r="B1942" s="2" t="s">
        <v>1967</v>
      </c>
      <c r="C1942" s="2" t="s">
        <v>33</v>
      </c>
      <c r="D1942" s="3">
        <v>1211</v>
      </c>
      <c r="E1942" s="4" t="s">
        <v>34</v>
      </c>
      <c r="F1942" s="5">
        <v>5.15</v>
      </c>
      <c r="G1942" s="4" t="s">
        <v>35</v>
      </c>
      <c r="H1942" s="6">
        <f t="shared" si="30"/>
        <v>6236.6500000000005</v>
      </c>
    </row>
    <row r="1943" spans="1:8" x14ac:dyDescent="0.2">
      <c r="A1943" s="2" t="s">
        <v>2019</v>
      </c>
      <c r="B1943" s="2" t="s">
        <v>1967</v>
      </c>
      <c r="C1943" s="2" t="s">
        <v>23</v>
      </c>
      <c r="D1943" s="3">
        <v>4362</v>
      </c>
      <c r="E1943" s="4" t="s">
        <v>24</v>
      </c>
      <c r="F1943" s="5">
        <v>13.75</v>
      </c>
      <c r="G1943" s="4" t="s">
        <v>25</v>
      </c>
      <c r="H1943" s="6">
        <f t="shared" si="30"/>
        <v>59977.5</v>
      </c>
    </row>
    <row r="1944" spans="1:8" x14ac:dyDescent="0.2">
      <c r="A1944" s="2" t="s">
        <v>2020</v>
      </c>
      <c r="B1944" s="2" t="s">
        <v>1967</v>
      </c>
      <c r="C1944" s="2" t="s">
        <v>147</v>
      </c>
      <c r="D1944" s="3">
        <v>4744</v>
      </c>
      <c r="E1944" s="4" t="s">
        <v>53</v>
      </c>
      <c r="F1944" s="5">
        <v>11.58</v>
      </c>
      <c r="G1944" s="4" t="s">
        <v>54</v>
      </c>
      <c r="H1944" s="6">
        <f t="shared" si="30"/>
        <v>54935.519999999997</v>
      </c>
    </row>
    <row r="1945" spans="1:8" x14ac:dyDescent="0.2">
      <c r="A1945" s="2" t="s">
        <v>2021</v>
      </c>
      <c r="B1945" s="2" t="s">
        <v>1967</v>
      </c>
      <c r="C1945" s="2" t="s">
        <v>44</v>
      </c>
      <c r="D1945" s="3">
        <v>2603</v>
      </c>
      <c r="E1945" s="4" t="s">
        <v>24</v>
      </c>
      <c r="F1945" s="5">
        <v>1.1100000000000001</v>
      </c>
      <c r="G1945" s="4" t="s">
        <v>25</v>
      </c>
      <c r="H1945" s="6">
        <f t="shared" si="30"/>
        <v>2889.3300000000004</v>
      </c>
    </row>
    <row r="1946" spans="1:8" x14ac:dyDescent="0.2">
      <c r="A1946" s="2" t="s">
        <v>2022</v>
      </c>
      <c r="B1946" s="2" t="s">
        <v>1967</v>
      </c>
      <c r="C1946" s="2" t="s">
        <v>71</v>
      </c>
      <c r="D1946" s="3">
        <v>3571</v>
      </c>
      <c r="E1946" s="4" t="s">
        <v>72</v>
      </c>
      <c r="F1946" s="5">
        <v>2830.67</v>
      </c>
      <c r="G1946" s="4" t="s">
        <v>73</v>
      </c>
      <c r="H1946" s="6">
        <f t="shared" si="30"/>
        <v>10108322.57</v>
      </c>
    </row>
    <row r="1947" spans="1:8" x14ac:dyDescent="0.2">
      <c r="A1947" s="2" t="s">
        <v>2023</v>
      </c>
      <c r="B1947" s="2" t="s">
        <v>1967</v>
      </c>
      <c r="C1947" s="2" t="s">
        <v>19</v>
      </c>
      <c r="D1947" s="3">
        <v>741</v>
      </c>
      <c r="E1947" s="4" t="s">
        <v>20</v>
      </c>
      <c r="F1947" s="5">
        <v>1.45</v>
      </c>
      <c r="G1947" s="4" t="s">
        <v>21</v>
      </c>
      <c r="H1947" s="6">
        <f t="shared" si="30"/>
        <v>1074.45</v>
      </c>
    </row>
    <row r="1948" spans="1:8" x14ac:dyDescent="0.2">
      <c r="A1948" s="2" t="s">
        <v>2024</v>
      </c>
      <c r="B1948" s="2" t="s">
        <v>1967</v>
      </c>
      <c r="C1948" s="2" t="s">
        <v>147</v>
      </c>
      <c r="D1948" s="3">
        <v>4191</v>
      </c>
      <c r="E1948" s="4" t="s">
        <v>53</v>
      </c>
      <c r="F1948" s="5">
        <v>11.23</v>
      </c>
      <c r="G1948" s="4" t="s">
        <v>54</v>
      </c>
      <c r="H1948" s="6">
        <f t="shared" si="30"/>
        <v>47064.93</v>
      </c>
    </row>
    <row r="1949" spans="1:8" x14ac:dyDescent="0.2">
      <c r="A1949" s="2" t="s">
        <v>2025</v>
      </c>
      <c r="B1949" s="2" t="s">
        <v>1967</v>
      </c>
      <c r="C1949" s="2" t="s">
        <v>89</v>
      </c>
      <c r="D1949" s="3">
        <v>2419</v>
      </c>
      <c r="E1949" s="4" t="s">
        <v>30</v>
      </c>
      <c r="F1949" s="5">
        <v>1.87</v>
      </c>
      <c r="G1949" s="4" t="s">
        <v>31</v>
      </c>
      <c r="H1949" s="6">
        <f t="shared" si="30"/>
        <v>4523.5300000000007</v>
      </c>
    </row>
    <row r="1950" spans="1:8" x14ac:dyDescent="0.2">
      <c r="A1950" s="2" t="s">
        <v>2026</v>
      </c>
      <c r="B1950" s="2" t="s">
        <v>1967</v>
      </c>
      <c r="C1950" s="2" t="s">
        <v>29</v>
      </c>
      <c r="D1950" s="3">
        <v>445</v>
      </c>
      <c r="E1950" s="4" t="s">
        <v>30</v>
      </c>
      <c r="F1950" s="5">
        <v>1</v>
      </c>
      <c r="G1950" s="4" t="s">
        <v>31</v>
      </c>
      <c r="H1950" s="6">
        <f t="shared" si="30"/>
        <v>445</v>
      </c>
    </row>
    <row r="1951" spans="1:8" x14ac:dyDescent="0.2">
      <c r="A1951" s="2" t="s">
        <v>2027</v>
      </c>
      <c r="B1951" s="2" t="s">
        <v>1967</v>
      </c>
      <c r="C1951" s="2" t="s">
        <v>29</v>
      </c>
      <c r="D1951" s="3">
        <v>2952</v>
      </c>
      <c r="E1951" s="4" t="s">
        <v>30</v>
      </c>
      <c r="F1951" s="5">
        <v>1.1299999999999999</v>
      </c>
      <c r="G1951" s="4" t="s">
        <v>31</v>
      </c>
      <c r="H1951" s="6">
        <f t="shared" si="30"/>
        <v>3335.7599999999998</v>
      </c>
    </row>
    <row r="1952" spans="1:8" x14ac:dyDescent="0.2">
      <c r="A1952" s="2" t="s">
        <v>2028</v>
      </c>
      <c r="B1952" s="2" t="s">
        <v>1967</v>
      </c>
      <c r="C1952" s="2" t="s">
        <v>71</v>
      </c>
      <c r="D1952" s="3">
        <v>265</v>
      </c>
      <c r="E1952" s="4" t="s">
        <v>72</v>
      </c>
      <c r="F1952" s="5">
        <v>2541.14</v>
      </c>
      <c r="G1952" s="4" t="s">
        <v>73</v>
      </c>
      <c r="H1952" s="6">
        <f t="shared" si="30"/>
        <v>673402.1</v>
      </c>
    </row>
    <row r="1953" spans="1:8" x14ac:dyDescent="0.2">
      <c r="A1953" s="2" t="s">
        <v>2029</v>
      </c>
      <c r="B1953" s="2" t="s">
        <v>1967</v>
      </c>
      <c r="C1953" s="2" t="s">
        <v>46</v>
      </c>
      <c r="D1953" s="3">
        <v>3239</v>
      </c>
      <c r="E1953" s="4" t="s">
        <v>20</v>
      </c>
      <c r="F1953" s="5">
        <v>3.25</v>
      </c>
      <c r="G1953" s="4" t="s">
        <v>21</v>
      </c>
      <c r="H1953" s="6">
        <f t="shared" si="30"/>
        <v>10526.75</v>
      </c>
    </row>
    <row r="1954" spans="1:8" x14ac:dyDescent="0.2">
      <c r="A1954" s="2" t="s">
        <v>2030</v>
      </c>
      <c r="B1954" s="2" t="s">
        <v>1967</v>
      </c>
      <c r="C1954" s="2" t="s">
        <v>67</v>
      </c>
      <c r="D1954" s="3">
        <v>3336</v>
      </c>
      <c r="E1954" s="4" t="s">
        <v>24</v>
      </c>
      <c r="F1954" s="5">
        <v>0.41</v>
      </c>
      <c r="G1954" s="4" t="s">
        <v>25</v>
      </c>
      <c r="H1954" s="6">
        <f t="shared" si="30"/>
        <v>1367.76</v>
      </c>
    </row>
    <row r="1955" spans="1:8" x14ac:dyDescent="0.2">
      <c r="A1955" s="2" t="s">
        <v>2031</v>
      </c>
      <c r="B1955" s="2" t="s">
        <v>1967</v>
      </c>
      <c r="C1955" s="2" t="s">
        <v>29</v>
      </c>
      <c r="D1955" s="3">
        <v>1740</v>
      </c>
      <c r="E1955" s="4" t="s">
        <v>30</v>
      </c>
      <c r="F1955" s="5">
        <v>1.79</v>
      </c>
      <c r="G1955" s="4" t="s">
        <v>31</v>
      </c>
      <c r="H1955" s="6">
        <f t="shared" si="30"/>
        <v>3114.6</v>
      </c>
    </row>
    <row r="1956" spans="1:8" x14ac:dyDescent="0.2">
      <c r="A1956" s="2" t="s">
        <v>2032</v>
      </c>
      <c r="B1956" s="2" t="s">
        <v>1967</v>
      </c>
      <c r="C1956" s="2" t="s">
        <v>48</v>
      </c>
      <c r="D1956" s="3">
        <v>1149</v>
      </c>
      <c r="E1956" s="4" t="s">
        <v>24</v>
      </c>
      <c r="F1956" s="5">
        <v>0.08</v>
      </c>
      <c r="G1956" s="4" t="s">
        <v>25</v>
      </c>
      <c r="H1956" s="6">
        <f t="shared" si="30"/>
        <v>91.92</v>
      </c>
    </row>
    <row r="1957" spans="1:8" x14ac:dyDescent="0.2">
      <c r="A1957" s="2" t="s">
        <v>2033</v>
      </c>
      <c r="B1957" s="2" t="s">
        <v>1967</v>
      </c>
      <c r="C1957" s="2" t="s">
        <v>67</v>
      </c>
      <c r="D1957" s="3">
        <v>2961</v>
      </c>
      <c r="E1957" s="4" t="s">
        <v>24</v>
      </c>
      <c r="F1957" s="5">
        <v>0.55000000000000004</v>
      </c>
      <c r="G1957" s="4" t="s">
        <v>25</v>
      </c>
      <c r="H1957" s="6">
        <f t="shared" si="30"/>
        <v>1628.5500000000002</v>
      </c>
    </row>
    <row r="1958" spans="1:8" x14ac:dyDescent="0.2">
      <c r="A1958" s="2" t="s">
        <v>2034</v>
      </c>
      <c r="B1958" s="2" t="s">
        <v>1967</v>
      </c>
      <c r="C1958" s="2" t="s">
        <v>89</v>
      </c>
      <c r="D1958" s="3">
        <v>2373</v>
      </c>
      <c r="E1958" s="4" t="s">
        <v>30</v>
      </c>
      <c r="F1958" s="5">
        <v>3</v>
      </c>
      <c r="G1958" s="4" t="s">
        <v>31</v>
      </c>
      <c r="H1958" s="6">
        <f t="shared" si="30"/>
        <v>7119</v>
      </c>
    </row>
    <row r="1959" spans="1:8" x14ac:dyDescent="0.2">
      <c r="A1959" s="2" t="s">
        <v>2035</v>
      </c>
      <c r="B1959" s="2" t="s">
        <v>2036</v>
      </c>
      <c r="C1959" s="2" t="s">
        <v>89</v>
      </c>
      <c r="D1959" s="3">
        <v>1110</v>
      </c>
      <c r="E1959" s="4" t="s">
        <v>30</v>
      </c>
      <c r="F1959" s="5">
        <v>1.81</v>
      </c>
      <c r="G1959" s="4" t="s">
        <v>31</v>
      </c>
      <c r="H1959" s="6">
        <f t="shared" si="30"/>
        <v>2009.1000000000001</v>
      </c>
    </row>
    <row r="1960" spans="1:8" x14ac:dyDescent="0.2">
      <c r="A1960" s="2" t="s">
        <v>2037</v>
      </c>
      <c r="B1960" s="2" t="s">
        <v>2036</v>
      </c>
      <c r="C1960" s="2" t="s">
        <v>33</v>
      </c>
      <c r="D1960" s="3">
        <v>1189</v>
      </c>
      <c r="E1960" s="4" t="s">
        <v>34</v>
      </c>
      <c r="F1960" s="5">
        <v>5.3</v>
      </c>
      <c r="G1960" s="4" t="s">
        <v>35</v>
      </c>
      <c r="H1960" s="6">
        <f t="shared" si="30"/>
        <v>6301.7</v>
      </c>
    </row>
    <row r="1961" spans="1:8" x14ac:dyDescent="0.2">
      <c r="A1961" s="2" t="s">
        <v>2038</v>
      </c>
      <c r="B1961" s="2" t="s">
        <v>2036</v>
      </c>
      <c r="C1961" s="2" t="s">
        <v>48</v>
      </c>
      <c r="D1961" s="3">
        <v>3587</v>
      </c>
      <c r="E1961" s="4" t="s">
        <v>24</v>
      </c>
      <c r="F1961" s="5">
        <v>0.2</v>
      </c>
      <c r="G1961" s="4" t="s">
        <v>25</v>
      </c>
      <c r="H1961" s="6">
        <f t="shared" si="30"/>
        <v>717.40000000000009</v>
      </c>
    </row>
    <row r="1962" spans="1:8" x14ac:dyDescent="0.2">
      <c r="A1962" s="2" t="s">
        <v>2039</v>
      </c>
      <c r="B1962" s="2" t="s">
        <v>2036</v>
      </c>
      <c r="C1962" s="2" t="s">
        <v>89</v>
      </c>
      <c r="D1962" s="3">
        <v>703</v>
      </c>
      <c r="E1962" s="4" t="s">
        <v>30</v>
      </c>
      <c r="F1962" s="5">
        <v>1.96</v>
      </c>
      <c r="G1962" s="4" t="s">
        <v>31</v>
      </c>
      <c r="H1962" s="6">
        <f t="shared" si="30"/>
        <v>1377.8799999999999</v>
      </c>
    </row>
    <row r="1963" spans="1:8" x14ac:dyDescent="0.2">
      <c r="A1963" s="2" t="s">
        <v>2040</v>
      </c>
      <c r="B1963" s="2" t="s">
        <v>2036</v>
      </c>
      <c r="C1963" s="2" t="s">
        <v>52</v>
      </c>
      <c r="D1963" s="3">
        <v>3745</v>
      </c>
      <c r="E1963" s="4" t="s">
        <v>53</v>
      </c>
      <c r="F1963" s="5">
        <v>13.47</v>
      </c>
      <c r="G1963" s="4" t="s">
        <v>54</v>
      </c>
      <c r="H1963" s="6">
        <f t="shared" si="30"/>
        <v>50445.15</v>
      </c>
    </row>
    <row r="1964" spans="1:8" x14ac:dyDescent="0.2">
      <c r="A1964" s="2" t="s">
        <v>2041</v>
      </c>
      <c r="B1964" s="2" t="s">
        <v>2036</v>
      </c>
      <c r="C1964" s="2" t="s">
        <v>147</v>
      </c>
      <c r="D1964" s="3">
        <v>3497</v>
      </c>
      <c r="E1964" s="4" t="s">
        <v>53</v>
      </c>
      <c r="F1964" s="5">
        <v>12.99</v>
      </c>
      <c r="G1964" s="4" t="s">
        <v>54</v>
      </c>
      <c r="H1964" s="6">
        <f t="shared" si="30"/>
        <v>45426.03</v>
      </c>
    </row>
    <row r="1965" spans="1:8" x14ac:dyDescent="0.2">
      <c r="A1965" s="2" t="s">
        <v>2042</v>
      </c>
      <c r="B1965" s="2" t="s">
        <v>2036</v>
      </c>
      <c r="C1965" s="2" t="s">
        <v>23</v>
      </c>
      <c r="D1965" s="3">
        <v>4183</v>
      </c>
      <c r="E1965" s="4" t="s">
        <v>24</v>
      </c>
      <c r="F1965" s="5">
        <v>14.54</v>
      </c>
      <c r="G1965" s="4" t="s">
        <v>25</v>
      </c>
      <c r="H1965" s="6">
        <f t="shared" si="30"/>
        <v>60820.82</v>
      </c>
    </row>
    <row r="1966" spans="1:8" x14ac:dyDescent="0.2">
      <c r="A1966" s="2" t="s">
        <v>2043</v>
      </c>
      <c r="B1966" s="2" t="s">
        <v>2036</v>
      </c>
      <c r="C1966" s="2" t="s">
        <v>23</v>
      </c>
      <c r="D1966" s="3">
        <v>3161</v>
      </c>
      <c r="E1966" s="4" t="s">
        <v>24</v>
      </c>
      <c r="F1966" s="5">
        <v>14.13</v>
      </c>
      <c r="G1966" s="4" t="s">
        <v>25</v>
      </c>
      <c r="H1966" s="6">
        <f t="shared" si="30"/>
        <v>44664.93</v>
      </c>
    </row>
    <row r="1967" spans="1:8" x14ac:dyDescent="0.2">
      <c r="A1967" s="2" t="s">
        <v>2044</v>
      </c>
      <c r="B1967" s="2" t="s">
        <v>2036</v>
      </c>
      <c r="C1967" s="2" t="s">
        <v>118</v>
      </c>
      <c r="D1967" s="3">
        <v>3489</v>
      </c>
      <c r="E1967" s="4" t="s">
        <v>24</v>
      </c>
      <c r="F1967" s="5">
        <v>0.82</v>
      </c>
      <c r="G1967" s="4" t="s">
        <v>25</v>
      </c>
      <c r="H1967" s="6">
        <f t="shared" si="30"/>
        <v>2860.98</v>
      </c>
    </row>
    <row r="1968" spans="1:8" x14ac:dyDescent="0.2">
      <c r="A1968" s="2" t="s">
        <v>2045</v>
      </c>
      <c r="B1968" s="2" t="s">
        <v>2036</v>
      </c>
      <c r="C1968" s="2" t="s">
        <v>46</v>
      </c>
      <c r="D1968" s="3">
        <v>4090</v>
      </c>
      <c r="E1968" s="4" t="s">
        <v>20</v>
      </c>
      <c r="F1968" s="5">
        <v>3.69</v>
      </c>
      <c r="G1968" s="4" t="s">
        <v>21</v>
      </c>
      <c r="H1968" s="6">
        <f t="shared" si="30"/>
        <v>15092.1</v>
      </c>
    </row>
    <row r="1969" spans="1:8" x14ac:dyDescent="0.2">
      <c r="A1969" s="2" t="s">
        <v>2046</v>
      </c>
      <c r="B1969" s="2" t="s">
        <v>2036</v>
      </c>
      <c r="C1969" s="2" t="s">
        <v>42</v>
      </c>
      <c r="D1969" s="3">
        <v>4120</v>
      </c>
      <c r="E1969" s="4" t="s">
        <v>24</v>
      </c>
      <c r="F1969" s="5">
        <v>4.3099999999999996</v>
      </c>
      <c r="G1969" s="4" t="s">
        <v>25</v>
      </c>
      <c r="H1969" s="6">
        <f t="shared" si="30"/>
        <v>17757.199999999997</v>
      </c>
    </row>
    <row r="1970" spans="1:8" x14ac:dyDescent="0.2">
      <c r="A1970" s="2" t="s">
        <v>2047</v>
      </c>
      <c r="B1970" s="2" t="s">
        <v>2036</v>
      </c>
      <c r="C1970" s="2" t="s">
        <v>29</v>
      </c>
      <c r="D1970" s="3">
        <v>4731</v>
      </c>
      <c r="E1970" s="4" t="s">
        <v>30</v>
      </c>
      <c r="F1970" s="5">
        <v>1.44</v>
      </c>
      <c r="G1970" s="4" t="s">
        <v>31</v>
      </c>
      <c r="H1970" s="6">
        <f t="shared" si="30"/>
        <v>6812.6399999999994</v>
      </c>
    </row>
    <row r="1971" spans="1:8" x14ac:dyDescent="0.2">
      <c r="A1971" s="2" t="s">
        <v>2048</v>
      </c>
      <c r="B1971" s="2" t="s">
        <v>2036</v>
      </c>
      <c r="C1971" s="2" t="s">
        <v>37</v>
      </c>
      <c r="D1971" s="3">
        <v>4664</v>
      </c>
      <c r="E1971" s="4" t="s">
        <v>38</v>
      </c>
      <c r="F1971" s="5">
        <v>3.45</v>
      </c>
      <c r="G1971" s="4" t="s">
        <v>39</v>
      </c>
      <c r="H1971" s="6">
        <f t="shared" si="30"/>
        <v>16090.800000000001</v>
      </c>
    </row>
    <row r="1972" spans="1:8" x14ac:dyDescent="0.2">
      <c r="A1972" s="2" t="s">
        <v>2049</v>
      </c>
      <c r="B1972" s="2" t="s">
        <v>2036</v>
      </c>
      <c r="C1972" s="2" t="s">
        <v>19</v>
      </c>
      <c r="D1972" s="3">
        <v>937</v>
      </c>
      <c r="E1972" s="4" t="s">
        <v>20</v>
      </c>
      <c r="F1972" s="5">
        <v>1.45</v>
      </c>
      <c r="G1972" s="4" t="s">
        <v>21</v>
      </c>
      <c r="H1972" s="6">
        <f t="shared" si="30"/>
        <v>1358.6499999999999</v>
      </c>
    </row>
    <row r="1973" spans="1:8" x14ac:dyDescent="0.2">
      <c r="A1973" s="2" t="s">
        <v>2050</v>
      </c>
      <c r="B1973" s="2" t="s">
        <v>2036</v>
      </c>
      <c r="C1973" s="2" t="s">
        <v>27</v>
      </c>
      <c r="D1973" s="3">
        <v>1173</v>
      </c>
      <c r="E1973" s="4" t="s">
        <v>20</v>
      </c>
      <c r="F1973" s="5">
        <v>2.08</v>
      </c>
      <c r="G1973" s="4" t="s">
        <v>21</v>
      </c>
      <c r="H1973" s="6">
        <f t="shared" si="30"/>
        <v>2439.84</v>
      </c>
    </row>
    <row r="1974" spans="1:8" x14ac:dyDescent="0.2">
      <c r="A1974" s="2" t="s">
        <v>2051</v>
      </c>
      <c r="B1974" s="2" t="s">
        <v>2036</v>
      </c>
      <c r="C1974" s="2" t="s">
        <v>78</v>
      </c>
      <c r="D1974" s="3">
        <v>2299</v>
      </c>
      <c r="E1974" s="4" t="s">
        <v>38</v>
      </c>
      <c r="F1974" s="5">
        <v>2.29</v>
      </c>
      <c r="G1974" s="4" t="s">
        <v>39</v>
      </c>
      <c r="H1974" s="6">
        <f t="shared" si="30"/>
        <v>5264.71</v>
      </c>
    </row>
    <row r="1975" spans="1:8" x14ac:dyDescent="0.2">
      <c r="A1975" s="2" t="s">
        <v>2052</v>
      </c>
      <c r="B1975" s="2" t="s">
        <v>2036</v>
      </c>
      <c r="C1975" s="2" t="s">
        <v>27</v>
      </c>
      <c r="D1975" s="3">
        <v>4297</v>
      </c>
      <c r="E1975" s="4" t="s">
        <v>20</v>
      </c>
      <c r="F1975" s="5">
        <v>2.27</v>
      </c>
      <c r="G1975" s="4" t="s">
        <v>21</v>
      </c>
      <c r="H1975" s="6">
        <f t="shared" si="30"/>
        <v>9754.19</v>
      </c>
    </row>
    <row r="1976" spans="1:8" x14ac:dyDescent="0.2">
      <c r="A1976" s="2" t="s">
        <v>2053</v>
      </c>
      <c r="B1976" s="2" t="s">
        <v>2036</v>
      </c>
      <c r="C1976" s="2" t="s">
        <v>27</v>
      </c>
      <c r="D1976" s="3">
        <v>2018</v>
      </c>
      <c r="E1976" s="4" t="s">
        <v>20</v>
      </c>
      <c r="F1976" s="5">
        <v>1.77</v>
      </c>
      <c r="G1976" s="4" t="s">
        <v>21</v>
      </c>
      <c r="H1976" s="6">
        <f t="shared" si="30"/>
        <v>3571.86</v>
      </c>
    </row>
    <row r="1977" spans="1:8" x14ac:dyDescent="0.2">
      <c r="A1977" s="2" t="s">
        <v>2054</v>
      </c>
      <c r="B1977" s="2" t="s">
        <v>2036</v>
      </c>
      <c r="C1977" s="2" t="s">
        <v>27</v>
      </c>
      <c r="D1977" s="3">
        <v>4427</v>
      </c>
      <c r="E1977" s="4" t="s">
        <v>20</v>
      </c>
      <c r="F1977" s="5">
        <v>2.16</v>
      </c>
      <c r="G1977" s="4" t="s">
        <v>21</v>
      </c>
      <c r="H1977" s="6">
        <f t="shared" si="30"/>
        <v>9562.3200000000015</v>
      </c>
    </row>
    <row r="1978" spans="1:8" x14ac:dyDescent="0.2">
      <c r="A1978" s="2" t="s">
        <v>2055</v>
      </c>
      <c r="B1978" s="2" t="s">
        <v>2036</v>
      </c>
      <c r="C1978" s="2" t="s">
        <v>71</v>
      </c>
      <c r="D1978" s="3">
        <v>442</v>
      </c>
      <c r="E1978" s="4" t="s">
        <v>72</v>
      </c>
      <c r="F1978" s="5">
        <v>2942.15</v>
      </c>
      <c r="G1978" s="4" t="s">
        <v>73</v>
      </c>
      <c r="H1978" s="6">
        <f t="shared" si="30"/>
        <v>1300430.3</v>
      </c>
    </row>
    <row r="1979" spans="1:8" x14ac:dyDescent="0.2">
      <c r="A1979" s="2" t="s">
        <v>2056</v>
      </c>
      <c r="B1979" s="2" t="s">
        <v>2036</v>
      </c>
      <c r="C1979" s="2" t="s">
        <v>29</v>
      </c>
      <c r="D1979" s="3">
        <v>98</v>
      </c>
      <c r="E1979" s="4" t="s">
        <v>30</v>
      </c>
      <c r="F1979" s="5">
        <v>1.56</v>
      </c>
      <c r="G1979" s="4" t="s">
        <v>31</v>
      </c>
      <c r="H1979" s="6">
        <f t="shared" si="30"/>
        <v>152.88</v>
      </c>
    </row>
    <row r="1980" spans="1:8" x14ac:dyDescent="0.2">
      <c r="A1980" s="2" t="s">
        <v>2057</v>
      </c>
      <c r="B1980" s="2" t="s">
        <v>2036</v>
      </c>
      <c r="C1980" s="2" t="s">
        <v>78</v>
      </c>
      <c r="D1980" s="3">
        <v>3853</v>
      </c>
      <c r="E1980" s="4" t="s">
        <v>38</v>
      </c>
      <c r="F1980" s="5">
        <v>2.48</v>
      </c>
      <c r="G1980" s="4" t="s">
        <v>39</v>
      </c>
      <c r="H1980" s="6">
        <f t="shared" si="30"/>
        <v>9555.44</v>
      </c>
    </row>
    <row r="1981" spans="1:8" x14ac:dyDescent="0.2">
      <c r="A1981" s="2" t="s">
        <v>2058</v>
      </c>
      <c r="B1981" s="2" t="s">
        <v>2036</v>
      </c>
      <c r="C1981" s="2" t="s">
        <v>57</v>
      </c>
      <c r="D1981" s="3">
        <v>3458</v>
      </c>
      <c r="E1981" s="4" t="s">
        <v>20</v>
      </c>
      <c r="F1981" s="5">
        <v>0.74</v>
      </c>
      <c r="G1981" s="4" t="s">
        <v>21</v>
      </c>
      <c r="H1981" s="6">
        <f t="shared" si="30"/>
        <v>2558.92</v>
      </c>
    </row>
    <row r="1982" spans="1:8" x14ac:dyDescent="0.2">
      <c r="A1982" s="2" t="s">
        <v>2059</v>
      </c>
      <c r="B1982" s="2" t="s">
        <v>2036</v>
      </c>
      <c r="C1982" s="2" t="s">
        <v>71</v>
      </c>
      <c r="D1982" s="3">
        <v>2379</v>
      </c>
      <c r="E1982" s="4" t="s">
        <v>72</v>
      </c>
      <c r="F1982" s="5">
        <v>2500.5</v>
      </c>
      <c r="G1982" s="4" t="s">
        <v>73</v>
      </c>
      <c r="H1982" s="6">
        <f t="shared" si="30"/>
        <v>5948689.5</v>
      </c>
    </row>
    <row r="1983" spans="1:8" x14ac:dyDescent="0.2">
      <c r="A1983" s="2" t="s">
        <v>2060</v>
      </c>
      <c r="B1983" s="2" t="s">
        <v>2036</v>
      </c>
      <c r="C1983" s="2" t="s">
        <v>147</v>
      </c>
      <c r="D1983" s="3">
        <v>2500</v>
      </c>
      <c r="E1983" s="4" t="s">
        <v>53</v>
      </c>
      <c r="F1983" s="5">
        <v>13.82</v>
      </c>
      <c r="G1983" s="4" t="s">
        <v>54</v>
      </c>
      <c r="H1983" s="6">
        <f t="shared" si="30"/>
        <v>34550</v>
      </c>
    </row>
    <row r="1984" spans="1:8" x14ac:dyDescent="0.2">
      <c r="A1984" s="2" t="s">
        <v>2061</v>
      </c>
      <c r="B1984" s="2" t="s">
        <v>2036</v>
      </c>
      <c r="C1984" s="2" t="s">
        <v>46</v>
      </c>
      <c r="D1984" s="3">
        <v>2143</v>
      </c>
      <c r="E1984" s="4" t="s">
        <v>20</v>
      </c>
      <c r="F1984" s="5">
        <v>2.12</v>
      </c>
      <c r="G1984" s="4" t="s">
        <v>21</v>
      </c>
      <c r="H1984" s="6">
        <f t="shared" si="30"/>
        <v>4543.16</v>
      </c>
    </row>
    <row r="1985" spans="1:8" x14ac:dyDescent="0.2">
      <c r="A1985" s="2" t="s">
        <v>2062</v>
      </c>
      <c r="B1985" s="2" t="s">
        <v>2036</v>
      </c>
      <c r="C1985" s="2" t="s">
        <v>48</v>
      </c>
      <c r="D1985" s="3">
        <v>4746</v>
      </c>
      <c r="E1985" s="4" t="s">
        <v>24</v>
      </c>
      <c r="F1985" s="5">
        <v>0.08</v>
      </c>
      <c r="G1985" s="4" t="s">
        <v>25</v>
      </c>
      <c r="H1985" s="6">
        <f t="shared" si="30"/>
        <v>379.68</v>
      </c>
    </row>
    <row r="1986" spans="1:8" x14ac:dyDescent="0.2">
      <c r="A1986" s="2" t="s">
        <v>2063</v>
      </c>
      <c r="B1986" s="2" t="s">
        <v>2036</v>
      </c>
      <c r="C1986" s="2" t="s">
        <v>37</v>
      </c>
      <c r="D1986" s="3">
        <v>2400</v>
      </c>
      <c r="E1986" s="4" t="s">
        <v>38</v>
      </c>
      <c r="F1986" s="5">
        <v>4.43</v>
      </c>
      <c r="G1986" s="4" t="s">
        <v>39</v>
      </c>
      <c r="H1986" s="6">
        <f t="shared" ref="H1986:H2049" si="31">D1986*F1986</f>
        <v>10632</v>
      </c>
    </row>
    <row r="1987" spans="1:8" x14ac:dyDescent="0.2">
      <c r="A1987" s="2" t="s">
        <v>2064</v>
      </c>
      <c r="B1987" s="2" t="s">
        <v>2036</v>
      </c>
      <c r="C1987" s="2" t="s">
        <v>147</v>
      </c>
      <c r="D1987" s="3">
        <v>233</v>
      </c>
      <c r="E1987" s="4" t="s">
        <v>53</v>
      </c>
      <c r="F1987" s="5">
        <v>10.29</v>
      </c>
      <c r="G1987" s="4" t="s">
        <v>54</v>
      </c>
      <c r="H1987" s="6">
        <f t="shared" si="31"/>
        <v>2397.5699999999997</v>
      </c>
    </row>
    <row r="1988" spans="1:8" x14ac:dyDescent="0.2">
      <c r="A1988" s="2" t="s">
        <v>2065</v>
      </c>
      <c r="B1988" s="2" t="s">
        <v>2036</v>
      </c>
      <c r="C1988" s="2" t="s">
        <v>27</v>
      </c>
      <c r="D1988" s="3">
        <v>1048</v>
      </c>
      <c r="E1988" s="4" t="s">
        <v>20</v>
      </c>
      <c r="F1988" s="5">
        <v>1.81</v>
      </c>
      <c r="G1988" s="4" t="s">
        <v>21</v>
      </c>
      <c r="H1988" s="6">
        <f t="shared" si="31"/>
        <v>1896.88</v>
      </c>
    </row>
    <row r="1989" spans="1:8" x14ac:dyDescent="0.2">
      <c r="A1989" s="2" t="s">
        <v>2066</v>
      </c>
      <c r="B1989" s="2" t="s">
        <v>2036</v>
      </c>
      <c r="C1989" s="2" t="s">
        <v>86</v>
      </c>
      <c r="D1989" s="3">
        <v>2074</v>
      </c>
      <c r="E1989" s="4" t="s">
        <v>72</v>
      </c>
      <c r="F1989" s="5">
        <v>7985.55</v>
      </c>
      <c r="G1989" s="4" t="s">
        <v>73</v>
      </c>
      <c r="H1989" s="6">
        <f t="shared" si="31"/>
        <v>16562030.700000001</v>
      </c>
    </row>
    <row r="1990" spans="1:8" x14ac:dyDescent="0.2">
      <c r="A1990" s="2" t="s">
        <v>2067</v>
      </c>
      <c r="B1990" s="2" t="s">
        <v>2036</v>
      </c>
      <c r="C1990" s="2" t="s">
        <v>86</v>
      </c>
      <c r="D1990" s="3">
        <v>2264</v>
      </c>
      <c r="E1990" s="4" t="s">
        <v>72</v>
      </c>
      <c r="F1990" s="5">
        <v>9001</v>
      </c>
      <c r="G1990" s="4" t="s">
        <v>73</v>
      </c>
      <c r="H1990" s="6">
        <f t="shared" si="31"/>
        <v>20378264</v>
      </c>
    </row>
    <row r="1991" spans="1:8" x14ac:dyDescent="0.2">
      <c r="A1991" s="2" t="s">
        <v>2068</v>
      </c>
      <c r="B1991" s="2" t="s">
        <v>2036</v>
      </c>
      <c r="C1991" s="2" t="s">
        <v>33</v>
      </c>
      <c r="D1991" s="3">
        <v>923</v>
      </c>
      <c r="E1991" s="4" t="s">
        <v>34</v>
      </c>
      <c r="F1991" s="5">
        <v>5.01</v>
      </c>
      <c r="G1991" s="4" t="s">
        <v>35</v>
      </c>
      <c r="H1991" s="6">
        <f t="shared" si="31"/>
        <v>4624.2299999999996</v>
      </c>
    </row>
    <row r="1992" spans="1:8" x14ac:dyDescent="0.2">
      <c r="A1992" s="2" t="s">
        <v>2069</v>
      </c>
      <c r="B1992" s="2" t="s">
        <v>2036</v>
      </c>
      <c r="C1992" s="2" t="s">
        <v>46</v>
      </c>
      <c r="D1992" s="3">
        <v>1248</v>
      </c>
      <c r="E1992" s="4" t="s">
        <v>20</v>
      </c>
      <c r="F1992" s="5">
        <v>3.32</v>
      </c>
      <c r="G1992" s="4" t="s">
        <v>21</v>
      </c>
      <c r="H1992" s="6">
        <f t="shared" si="31"/>
        <v>4143.3599999999997</v>
      </c>
    </row>
    <row r="1993" spans="1:8" x14ac:dyDescent="0.2">
      <c r="A1993" s="2" t="s">
        <v>2070</v>
      </c>
      <c r="B1993" s="2" t="s">
        <v>2036</v>
      </c>
      <c r="C1993" s="2" t="s">
        <v>19</v>
      </c>
      <c r="D1993" s="3">
        <v>1446</v>
      </c>
      <c r="E1993" s="4" t="s">
        <v>20</v>
      </c>
      <c r="F1993" s="5">
        <v>1.26</v>
      </c>
      <c r="G1993" s="4" t="s">
        <v>21</v>
      </c>
      <c r="H1993" s="6">
        <f t="shared" si="31"/>
        <v>1821.96</v>
      </c>
    </row>
    <row r="1994" spans="1:8" x14ac:dyDescent="0.2">
      <c r="A1994" s="2" t="s">
        <v>2071</v>
      </c>
      <c r="B1994" s="2" t="s">
        <v>2036</v>
      </c>
      <c r="C1994" s="2" t="s">
        <v>42</v>
      </c>
      <c r="D1994" s="3">
        <v>3982</v>
      </c>
      <c r="E1994" s="4" t="s">
        <v>24</v>
      </c>
      <c r="F1994" s="5">
        <v>4.04</v>
      </c>
      <c r="G1994" s="4" t="s">
        <v>25</v>
      </c>
      <c r="H1994" s="6">
        <f t="shared" si="31"/>
        <v>16087.28</v>
      </c>
    </row>
    <row r="1995" spans="1:8" x14ac:dyDescent="0.2">
      <c r="A1995" s="2" t="s">
        <v>2072</v>
      </c>
      <c r="B1995" s="2" t="s">
        <v>2036</v>
      </c>
      <c r="C1995" s="2" t="s">
        <v>78</v>
      </c>
      <c r="D1995" s="3">
        <v>281</v>
      </c>
      <c r="E1995" s="4" t="s">
        <v>38</v>
      </c>
      <c r="F1995" s="5">
        <v>2.08</v>
      </c>
      <c r="G1995" s="4" t="s">
        <v>39</v>
      </c>
      <c r="H1995" s="6">
        <f t="shared" si="31"/>
        <v>584.48</v>
      </c>
    </row>
    <row r="1996" spans="1:8" x14ac:dyDescent="0.2">
      <c r="A1996" s="2" t="s">
        <v>2073</v>
      </c>
      <c r="B1996" s="2" t="s">
        <v>2036</v>
      </c>
      <c r="C1996" s="2" t="s">
        <v>27</v>
      </c>
      <c r="D1996" s="3">
        <v>1198</v>
      </c>
      <c r="E1996" s="4" t="s">
        <v>20</v>
      </c>
      <c r="F1996" s="5">
        <v>1.91</v>
      </c>
      <c r="G1996" s="4" t="s">
        <v>21</v>
      </c>
      <c r="H1996" s="6">
        <f t="shared" si="31"/>
        <v>2288.1799999999998</v>
      </c>
    </row>
    <row r="1997" spans="1:8" x14ac:dyDescent="0.2">
      <c r="A1997" s="2" t="s">
        <v>2074</v>
      </c>
      <c r="B1997" s="2" t="s">
        <v>2036</v>
      </c>
      <c r="C1997" s="2" t="s">
        <v>89</v>
      </c>
      <c r="D1997" s="3">
        <v>4072</v>
      </c>
      <c r="E1997" s="4" t="s">
        <v>30</v>
      </c>
      <c r="F1997" s="5">
        <v>2.7</v>
      </c>
      <c r="G1997" s="4" t="s">
        <v>31</v>
      </c>
      <c r="H1997" s="6">
        <f t="shared" si="31"/>
        <v>10994.400000000001</v>
      </c>
    </row>
    <row r="1998" spans="1:8" x14ac:dyDescent="0.2">
      <c r="A1998" s="2" t="s">
        <v>2075</v>
      </c>
      <c r="B1998" s="2" t="s">
        <v>2036</v>
      </c>
      <c r="C1998" s="2" t="s">
        <v>52</v>
      </c>
      <c r="D1998" s="3">
        <v>3148</v>
      </c>
      <c r="E1998" s="4" t="s">
        <v>53</v>
      </c>
      <c r="F1998" s="5">
        <v>10.19</v>
      </c>
      <c r="G1998" s="4" t="s">
        <v>54</v>
      </c>
      <c r="H1998" s="6">
        <f t="shared" si="31"/>
        <v>32078.12</v>
      </c>
    </row>
    <row r="1999" spans="1:8" x14ac:dyDescent="0.2">
      <c r="A1999" s="2" t="s">
        <v>2076</v>
      </c>
      <c r="B1999" s="2" t="s">
        <v>2036</v>
      </c>
      <c r="C1999" s="2" t="s">
        <v>23</v>
      </c>
      <c r="D1999" s="3">
        <v>1380</v>
      </c>
      <c r="E1999" s="4" t="s">
        <v>24</v>
      </c>
      <c r="F1999" s="5">
        <v>13.27</v>
      </c>
      <c r="G1999" s="4" t="s">
        <v>25</v>
      </c>
      <c r="H1999" s="6">
        <f t="shared" si="31"/>
        <v>18312.599999999999</v>
      </c>
    </row>
    <row r="2000" spans="1:8" x14ac:dyDescent="0.2">
      <c r="A2000" s="2" t="s">
        <v>2077</v>
      </c>
      <c r="B2000" s="2" t="s">
        <v>2036</v>
      </c>
      <c r="C2000" s="2" t="s">
        <v>19</v>
      </c>
      <c r="D2000" s="3">
        <v>455</v>
      </c>
      <c r="E2000" s="4" t="s">
        <v>20</v>
      </c>
      <c r="F2000" s="5">
        <v>1.49</v>
      </c>
      <c r="G2000" s="4" t="s">
        <v>21</v>
      </c>
      <c r="H2000" s="6">
        <f t="shared" si="31"/>
        <v>677.95</v>
      </c>
    </row>
    <row r="2001" spans="1:8" x14ac:dyDescent="0.2">
      <c r="A2001" s="2" t="s">
        <v>2078</v>
      </c>
      <c r="B2001" s="2" t="s">
        <v>2036</v>
      </c>
      <c r="C2001" s="2" t="s">
        <v>50</v>
      </c>
      <c r="D2001" s="3">
        <v>440</v>
      </c>
      <c r="E2001" s="4" t="s">
        <v>20</v>
      </c>
      <c r="F2001" s="5">
        <v>0.8</v>
      </c>
      <c r="G2001" s="4" t="s">
        <v>21</v>
      </c>
      <c r="H2001" s="6">
        <f t="shared" si="31"/>
        <v>352</v>
      </c>
    </row>
    <row r="2002" spans="1:8" x14ac:dyDescent="0.2">
      <c r="A2002" s="2" t="s">
        <v>2079</v>
      </c>
      <c r="B2002" s="2" t="s">
        <v>2036</v>
      </c>
      <c r="C2002" s="2" t="s">
        <v>67</v>
      </c>
      <c r="D2002" s="3">
        <v>3911</v>
      </c>
      <c r="E2002" s="4" t="s">
        <v>24</v>
      </c>
      <c r="F2002" s="5">
        <v>0.39</v>
      </c>
      <c r="G2002" s="4" t="s">
        <v>25</v>
      </c>
      <c r="H2002" s="6">
        <f t="shared" si="31"/>
        <v>1525.29</v>
      </c>
    </row>
    <row r="2003" spans="1:8" x14ac:dyDescent="0.2">
      <c r="A2003" s="2" t="s">
        <v>2080</v>
      </c>
      <c r="B2003" s="2" t="s">
        <v>2036</v>
      </c>
      <c r="C2003" s="2" t="s">
        <v>29</v>
      </c>
      <c r="D2003" s="3">
        <v>1924</v>
      </c>
      <c r="E2003" s="4" t="s">
        <v>30</v>
      </c>
      <c r="F2003" s="5">
        <v>1.46</v>
      </c>
      <c r="G2003" s="4" t="s">
        <v>31</v>
      </c>
      <c r="H2003" s="6">
        <f t="shared" si="31"/>
        <v>2809.04</v>
      </c>
    </row>
    <row r="2004" spans="1:8" x14ac:dyDescent="0.2">
      <c r="A2004" s="2" t="s">
        <v>2081</v>
      </c>
      <c r="B2004" s="2" t="s">
        <v>2036</v>
      </c>
      <c r="C2004" s="2" t="s">
        <v>67</v>
      </c>
      <c r="D2004" s="3">
        <v>3897</v>
      </c>
      <c r="E2004" s="4" t="s">
        <v>24</v>
      </c>
      <c r="F2004" s="5">
        <v>0.38</v>
      </c>
      <c r="G2004" s="4" t="s">
        <v>25</v>
      </c>
      <c r="H2004" s="6">
        <f t="shared" si="31"/>
        <v>1480.8600000000001</v>
      </c>
    </row>
    <row r="2005" spans="1:8" x14ac:dyDescent="0.2">
      <c r="A2005" s="2" t="s">
        <v>2082</v>
      </c>
      <c r="B2005" s="2" t="s">
        <v>2036</v>
      </c>
      <c r="C2005" s="2" t="s">
        <v>78</v>
      </c>
      <c r="D2005" s="3">
        <v>3571</v>
      </c>
      <c r="E2005" s="4" t="s">
        <v>38</v>
      </c>
      <c r="F2005" s="5">
        <v>1.52</v>
      </c>
      <c r="G2005" s="4" t="s">
        <v>39</v>
      </c>
      <c r="H2005" s="6">
        <f t="shared" si="31"/>
        <v>5427.92</v>
      </c>
    </row>
    <row r="2006" spans="1:8" x14ac:dyDescent="0.2">
      <c r="A2006" s="2" t="s">
        <v>2083</v>
      </c>
      <c r="B2006" s="2" t="s">
        <v>2036</v>
      </c>
      <c r="C2006" s="2" t="s">
        <v>23</v>
      </c>
      <c r="D2006" s="3">
        <v>3139</v>
      </c>
      <c r="E2006" s="4" t="s">
        <v>24</v>
      </c>
      <c r="F2006" s="5">
        <v>16.07</v>
      </c>
      <c r="G2006" s="4" t="s">
        <v>25</v>
      </c>
      <c r="H2006" s="6">
        <f t="shared" si="31"/>
        <v>50443.73</v>
      </c>
    </row>
    <row r="2007" spans="1:8" x14ac:dyDescent="0.2">
      <c r="A2007" s="2" t="s">
        <v>2084</v>
      </c>
      <c r="B2007" s="2" t="s">
        <v>2036</v>
      </c>
      <c r="C2007" s="2" t="s">
        <v>78</v>
      </c>
      <c r="D2007" s="3">
        <v>346</v>
      </c>
      <c r="E2007" s="4" t="s">
        <v>38</v>
      </c>
      <c r="F2007" s="5">
        <v>1.67</v>
      </c>
      <c r="G2007" s="4" t="s">
        <v>39</v>
      </c>
      <c r="H2007" s="6">
        <f t="shared" si="31"/>
        <v>577.81999999999994</v>
      </c>
    </row>
    <row r="2008" spans="1:8" x14ac:dyDescent="0.2">
      <c r="A2008" s="2" t="s">
        <v>2085</v>
      </c>
      <c r="B2008" s="2" t="s">
        <v>2036</v>
      </c>
      <c r="C2008" s="2" t="s">
        <v>29</v>
      </c>
      <c r="D2008" s="3">
        <v>2908</v>
      </c>
      <c r="E2008" s="4" t="s">
        <v>30</v>
      </c>
      <c r="F2008" s="5">
        <v>2.15</v>
      </c>
      <c r="G2008" s="4" t="s">
        <v>31</v>
      </c>
      <c r="H2008" s="6">
        <f t="shared" si="31"/>
        <v>6252.2</v>
      </c>
    </row>
    <row r="2009" spans="1:8" x14ac:dyDescent="0.2">
      <c r="A2009" s="2" t="s">
        <v>2086</v>
      </c>
      <c r="B2009" s="2" t="s">
        <v>2036</v>
      </c>
      <c r="C2009" s="2" t="s">
        <v>52</v>
      </c>
      <c r="D2009" s="3">
        <v>2243</v>
      </c>
      <c r="E2009" s="4" t="s">
        <v>53</v>
      </c>
      <c r="F2009" s="5">
        <v>10.67</v>
      </c>
      <c r="G2009" s="4" t="s">
        <v>54</v>
      </c>
      <c r="H2009" s="6">
        <f t="shared" si="31"/>
        <v>23932.81</v>
      </c>
    </row>
    <row r="2010" spans="1:8" x14ac:dyDescent="0.2">
      <c r="A2010" s="2" t="s">
        <v>2087</v>
      </c>
      <c r="B2010" s="2" t="s">
        <v>2036</v>
      </c>
      <c r="C2010" s="2" t="s">
        <v>86</v>
      </c>
      <c r="D2010" s="3">
        <v>815</v>
      </c>
      <c r="E2010" s="4" t="s">
        <v>72</v>
      </c>
      <c r="F2010" s="5">
        <v>8157.48</v>
      </c>
      <c r="G2010" s="4" t="s">
        <v>73</v>
      </c>
      <c r="H2010" s="6">
        <f t="shared" si="31"/>
        <v>6648346.1999999993</v>
      </c>
    </row>
    <row r="2011" spans="1:8" x14ac:dyDescent="0.2">
      <c r="A2011" s="2" t="s">
        <v>2088</v>
      </c>
      <c r="B2011" s="2" t="s">
        <v>2036</v>
      </c>
      <c r="C2011" s="2" t="s">
        <v>46</v>
      </c>
      <c r="D2011" s="3">
        <v>3214</v>
      </c>
      <c r="E2011" s="4" t="s">
        <v>20</v>
      </c>
      <c r="F2011" s="5">
        <v>2.92</v>
      </c>
      <c r="G2011" s="4" t="s">
        <v>21</v>
      </c>
      <c r="H2011" s="6">
        <f t="shared" si="31"/>
        <v>9384.8799999999992</v>
      </c>
    </row>
    <row r="2012" spans="1:8" x14ac:dyDescent="0.2">
      <c r="A2012" s="2" t="s">
        <v>2089</v>
      </c>
      <c r="B2012" s="2" t="s">
        <v>2036</v>
      </c>
      <c r="C2012" s="2" t="s">
        <v>42</v>
      </c>
      <c r="D2012" s="3">
        <v>4832</v>
      </c>
      <c r="E2012" s="4" t="s">
        <v>24</v>
      </c>
      <c r="F2012" s="5">
        <v>5.81</v>
      </c>
      <c r="G2012" s="4" t="s">
        <v>25</v>
      </c>
      <c r="H2012" s="6">
        <f t="shared" si="31"/>
        <v>28073.919999999998</v>
      </c>
    </row>
    <row r="2013" spans="1:8" x14ac:dyDescent="0.2">
      <c r="A2013" s="2" t="s">
        <v>2090</v>
      </c>
      <c r="B2013" s="2" t="s">
        <v>2036</v>
      </c>
      <c r="C2013" s="2" t="s">
        <v>78</v>
      </c>
      <c r="D2013" s="3">
        <v>2774</v>
      </c>
      <c r="E2013" s="4" t="s">
        <v>38</v>
      </c>
      <c r="F2013" s="5">
        <v>2.65</v>
      </c>
      <c r="G2013" s="4" t="s">
        <v>39</v>
      </c>
      <c r="H2013" s="6">
        <f t="shared" si="31"/>
        <v>7351.0999999999995</v>
      </c>
    </row>
    <row r="2014" spans="1:8" x14ac:dyDescent="0.2">
      <c r="A2014" s="2" t="s">
        <v>2091</v>
      </c>
      <c r="B2014" s="2" t="s">
        <v>2036</v>
      </c>
      <c r="C2014" s="2" t="s">
        <v>118</v>
      </c>
      <c r="D2014" s="3">
        <v>2576</v>
      </c>
      <c r="E2014" s="4" t="s">
        <v>24</v>
      </c>
      <c r="F2014" s="5">
        <v>0.78</v>
      </c>
      <c r="G2014" s="4" t="s">
        <v>25</v>
      </c>
      <c r="H2014" s="6">
        <f t="shared" si="31"/>
        <v>2009.28</v>
      </c>
    </row>
    <row r="2015" spans="1:8" x14ac:dyDescent="0.2">
      <c r="A2015" s="2" t="s">
        <v>2092</v>
      </c>
      <c r="B2015" s="2" t="s">
        <v>2036</v>
      </c>
      <c r="C2015" s="2" t="s">
        <v>33</v>
      </c>
      <c r="D2015" s="3">
        <v>566</v>
      </c>
      <c r="E2015" s="4" t="s">
        <v>34</v>
      </c>
      <c r="F2015" s="5">
        <v>3.53</v>
      </c>
      <c r="G2015" s="4" t="s">
        <v>35</v>
      </c>
      <c r="H2015" s="6">
        <f t="shared" si="31"/>
        <v>1997.9799999999998</v>
      </c>
    </row>
    <row r="2016" spans="1:8" x14ac:dyDescent="0.2">
      <c r="A2016" s="2" t="s">
        <v>2093</v>
      </c>
      <c r="B2016" s="2" t="s">
        <v>2036</v>
      </c>
      <c r="C2016" s="2" t="s">
        <v>50</v>
      </c>
      <c r="D2016" s="3">
        <v>4312</v>
      </c>
      <c r="E2016" s="4" t="s">
        <v>20</v>
      </c>
      <c r="F2016" s="5">
        <v>0.76</v>
      </c>
      <c r="G2016" s="4" t="s">
        <v>21</v>
      </c>
      <c r="H2016" s="6">
        <f t="shared" si="31"/>
        <v>3277.12</v>
      </c>
    </row>
    <row r="2017" spans="1:8" x14ac:dyDescent="0.2">
      <c r="A2017" s="2" t="s">
        <v>2094</v>
      </c>
      <c r="B2017" s="2" t="s">
        <v>2036</v>
      </c>
      <c r="C2017" s="2" t="s">
        <v>23</v>
      </c>
      <c r="D2017" s="3">
        <v>2889</v>
      </c>
      <c r="E2017" s="4" t="s">
        <v>24</v>
      </c>
      <c r="F2017" s="5">
        <v>13.32</v>
      </c>
      <c r="G2017" s="4" t="s">
        <v>25</v>
      </c>
      <c r="H2017" s="6">
        <f t="shared" si="31"/>
        <v>38481.480000000003</v>
      </c>
    </row>
    <row r="2018" spans="1:8" x14ac:dyDescent="0.2">
      <c r="A2018" s="2" t="s">
        <v>2095</v>
      </c>
      <c r="B2018" s="2" t="s">
        <v>2036</v>
      </c>
      <c r="C2018" s="2" t="s">
        <v>71</v>
      </c>
      <c r="D2018" s="3">
        <v>2073</v>
      </c>
      <c r="E2018" s="4" t="s">
        <v>72</v>
      </c>
      <c r="F2018" s="5">
        <v>2515.85</v>
      </c>
      <c r="G2018" s="4" t="s">
        <v>73</v>
      </c>
      <c r="H2018" s="6">
        <f t="shared" si="31"/>
        <v>5215357.05</v>
      </c>
    </row>
    <row r="2019" spans="1:8" x14ac:dyDescent="0.2">
      <c r="A2019" s="2" t="s">
        <v>2096</v>
      </c>
      <c r="B2019" s="2" t="s">
        <v>2036</v>
      </c>
      <c r="C2019" s="2" t="s">
        <v>33</v>
      </c>
      <c r="D2019" s="3">
        <v>763</v>
      </c>
      <c r="E2019" s="4" t="s">
        <v>34</v>
      </c>
      <c r="F2019" s="5">
        <v>3.64</v>
      </c>
      <c r="G2019" s="4" t="s">
        <v>35</v>
      </c>
      <c r="H2019" s="6">
        <f t="shared" si="31"/>
        <v>2777.32</v>
      </c>
    </row>
    <row r="2020" spans="1:8" x14ac:dyDescent="0.2">
      <c r="A2020" s="2" t="s">
        <v>2097</v>
      </c>
      <c r="B2020" s="2" t="s">
        <v>2036</v>
      </c>
      <c r="C2020" s="2" t="s">
        <v>147</v>
      </c>
      <c r="D2020" s="3">
        <v>1786</v>
      </c>
      <c r="E2020" s="4" t="s">
        <v>53</v>
      </c>
      <c r="F2020" s="5">
        <v>15.6</v>
      </c>
      <c r="G2020" s="4" t="s">
        <v>54</v>
      </c>
      <c r="H2020" s="6">
        <f t="shared" si="31"/>
        <v>27861.599999999999</v>
      </c>
    </row>
    <row r="2021" spans="1:8" x14ac:dyDescent="0.2">
      <c r="A2021" s="2" t="s">
        <v>2098</v>
      </c>
      <c r="B2021" s="2" t="s">
        <v>2036</v>
      </c>
      <c r="C2021" s="2" t="s">
        <v>50</v>
      </c>
      <c r="D2021" s="3">
        <v>992</v>
      </c>
      <c r="E2021" s="4" t="s">
        <v>20</v>
      </c>
      <c r="F2021" s="5">
        <v>0.75</v>
      </c>
      <c r="G2021" s="4" t="s">
        <v>21</v>
      </c>
      <c r="H2021" s="6">
        <f t="shared" si="31"/>
        <v>744</v>
      </c>
    </row>
    <row r="2022" spans="1:8" x14ac:dyDescent="0.2">
      <c r="A2022" s="2" t="s">
        <v>2099</v>
      </c>
      <c r="B2022" s="2" t="s">
        <v>2036</v>
      </c>
      <c r="C2022" s="2" t="s">
        <v>147</v>
      </c>
      <c r="D2022" s="3">
        <v>1074</v>
      </c>
      <c r="E2022" s="4" t="s">
        <v>53</v>
      </c>
      <c r="F2022" s="5">
        <v>11.01</v>
      </c>
      <c r="G2022" s="4" t="s">
        <v>54</v>
      </c>
      <c r="H2022" s="6">
        <f t="shared" si="31"/>
        <v>11824.74</v>
      </c>
    </row>
    <row r="2023" spans="1:8" x14ac:dyDescent="0.2">
      <c r="A2023" s="2" t="s">
        <v>2100</v>
      </c>
      <c r="B2023" s="2" t="s">
        <v>2036</v>
      </c>
      <c r="C2023" s="2" t="s">
        <v>46</v>
      </c>
      <c r="D2023" s="3">
        <v>1523</v>
      </c>
      <c r="E2023" s="4" t="s">
        <v>20</v>
      </c>
      <c r="F2023" s="5">
        <v>3.79</v>
      </c>
      <c r="G2023" s="4" t="s">
        <v>21</v>
      </c>
      <c r="H2023" s="6">
        <f t="shared" si="31"/>
        <v>5772.17</v>
      </c>
    </row>
    <row r="2024" spans="1:8" x14ac:dyDescent="0.2">
      <c r="A2024" s="2" t="s">
        <v>2101</v>
      </c>
      <c r="B2024" s="2" t="s">
        <v>2036</v>
      </c>
      <c r="C2024" s="2" t="s">
        <v>118</v>
      </c>
      <c r="D2024" s="3">
        <v>2085</v>
      </c>
      <c r="E2024" s="4" t="s">
        <v>24</v>
      </c>
      <c r="F2024" s="5">
        <v>0.61</v>
      </c>
      <c r="G2024" s="4" t="s">
        <v>25</v>
      </c>
      <c r="H2024" s="6">
        <f t="shared" si="31"/>
        <v>1271.8499999999999</v>
      </c>
    </row>
    <row r="2025" spans="1:8" x14ac:dyDescent="0.2">
      <c r="A2025" s="2" t="s">
        <v>2102</v>
      </c>
      <c r="B2025" s="2" t="s">
        <v>2036</v>
      </c>
      <c r="C2025" s="2" t="s">
        <v>27</v>
      </c>
      <c r="D2025" s="3">
        <v>3724</v>
      </c>
      <c r="E2025" s="4" t="s">
        <v>20</v>
      </c>
      <c r="F2025" s="5">
        <v>2.31</v>
      </c>
      <c r="G2025" s="4" t="s">
        <v>21</v>
      </c>
      <c r="H2025" s="6">
        <f t="shared" si="31"/>
        <v>8602.44</v>
      </c>
    </row>
    <row r="2026" spans="1:8" x14ac:dyDescent="0.2">
      <c r="A2026" s="2" t="s">
        <v>2103</v>
      </c>
      <c r="B2026" s="2" t="s">
        <v>2036</v>
      </c>
      <c r="C2026" s="2" t="s">
        <v>86</v>
      </c>
      <c r="D2026" s="3">
        <v>3507</v>
      </c>
      <c r="E2026" s="4" t="s">
        <v>72</v>
      </c>
      <c r="F2026" s="5">
        <v>8769.11</v>
      </c>
      <c r="G2026" s="4" t="s">
        <v>73</v>
      </c>
      <c r="H2026" s="6">
        <f t="shared" si="31"/>
        <v>30753268.770000003</v>
      </c>
    </row>
    <row r="2027" spans="1:8" x14ac:dyDescent="0.2">
      <c r="A2027" s="2" t="s">
        <v>2104</v>
      </c>
      <c r="B2027" s="2" t="s">
        <v>2036</v>
      </c>
      <c r="C2027" s="2" t="s">
        <v>57</v>
      </c>
      <c r="D2027" s="3">
        <v>2118</v>
      </c>
      <c r="E2027" s="4" t="s">
        <v>20</v>
      </c>
      <c r="F2027" s="5">
        <v>0.66</v>
      </c>
      <c r="G2027" s="4" t="s">
        <v>21</v>
      </c>
      <c r="H2027" s="6">
        <f t="shared" si="31"/>
        <v>1397.88</v>
      </c>
    </row>
    <row r="2028" spans="1:8" x14ac:dyDescent="0.2">
      <c r="A2028" s="2" t="s">
        <v>2105</v>
      </c>
      <c r="B2028" s="2" t="s">
        <v>2036</v>
      </c>
      <c r="C2028" s="2" t="s">
        <v>27</v>
      </c>
      <c r="D2028" s="3">
        <v>2281</v>
      </c>
      <c r="E2028" s="4" t="s">
        <v>20</v>
      </c>
      <c r="F2028" s="5">
        <v>2.13</v>
      </c>
      <c r="G2028" s="4" t="s">
        <v>21</v>
      </c>
      <c r="H2028" s="6">
        <f t="shared" si="31"/>
        <v>4858.53</v>
      </c>
    </row>
    <row r="2029" spans="1:8" x14ac:dyDescent="0.2">
      <c r="A2029" s="2" t="s">
        <v>2106</v>
      </c>
      <c r="B2029" s="2" t="s">
        <v>2036</v>
      </c>
      <c r="C2029" s="2" t="s">
        <v>67</v>
      </c>
      <c r="D2029" s="3">
        <v>3193</v>
      </c>
      <c r="E2029" s="4" t="s">
        <v>24</v>
      </c>
      <c r="F2029" s="5">
        <v>0.4</v>
      </c>
      <c r="G2029" s="4" t="s">
        <v>25</v>
      </c>
      <c r="H2029" s="6">
        <f t="shared" si="31"/>
        <v>1277.2</v>
      </c>
    </row>
    <row r="2030" spans="1:8" x14ac:dyDescent="0.2">
      <c r="A2030" s="2" t="s">
        <v>2107</v>
      </c>
      <c r="B2030" s="2" t="s">
        <v>2036</v>
      </c>
      <c r="C2030" s="2" t="s">
        <v>37</v>
      </c>
      <c r="D2030" s="3">
        <v>2125</v>
      </c>
      <c r="E2030" s="4" t="s">
        <v>38</v>
      </c>
      <c r="F2030" s="5">
        <v>4.87</v>
      </c>
      <c r="G2030" s="4" t="s">
        <v>39</v>
      </c>
      <c r="H2030" s="6">
        <f t="shared" si="31"/>
        <v>10348.75</v>
      </c>
    </row>
    <row r="2031" spans="1:8" x14ac:dyDescent="0.2">
      <c r="A2031" s="2" t="s">
        <v>2108</v>
      </c>
      <c r="B2031" s="2" t="s">
        <v>2036</v>
      </c>
      <c r="C2031" s="2" t="s">
        <v>86</v>
      </c>
      <c r="D2031" s="3">
        <v>1467</v>
      </c>
      <c r="E2031" s="4" t="s">
        <v>72</v>
      </c>
      <c r="F2031" s="5">
        <v>8416.7999999999993</v>
      </c>
      <c r="G2031" s="4" t="s">
        <v>73</v>
      </c>
      <c r="H2031" s="6">
        <f t="shared" si="31"/>
        <v>12347445.6</v>
      </c>
    </row>
    <row r="2032" spans="1:8" x14ac:dyDescent="0.2">
      <c r="A2032" s="2" t="s">
        <v>2109</v>
      </c>
      <c r="B2032" s="2" t="s">
        <v>2036</v>
      </c>
      <c r="C2032" s="2" t="s">
        <v>48</v>
      </c>
      <c r="D2032" s="3">
        <v>1653</v>
      </c>
      <c r="E2032" s="4" t="s">
        <v>24</v>
      </c>
      <c r="F2032" s="5">
        <v>0.14000000000000001</v>
      </c>
      <c r="G2032" s="4" t="s">
        <v>25</v>
      </c>
      <c r="H2032" s="6">
        <f t="shared" si="31"/>
        <v>231.42000000000002</v>
      </c>
    </row>
    <row r="2033" spans="1:8" x14ac:dyDescent="0.2">
      <c r="A2033" s="2" t="s">
        <v>2110</v>
      </c>
      <c r="B2033" s="2" t="s">
        <v>2036</v>
      </c>
      <c r="C2033" s="2" t="s">
        <v>118</v>
      </c>
      <c r="D2033" s="3">
        <v>4040</v>
      </c>
      <c r="E2033" s="4" t="s">
        <v>24</v>
      </c>
      <c r="F2033" s="5">
        <v>0.48</v>
      </c>
      <c r="G2033" s="4" t="s">
        <v>25</v>
      </c>
      <c r="H2033" s="6">
        <f t="shared" si="31"/>
        <v>1939.1999999999998</v>
      </c>
    </row>
    <row r="2034" spans="1:8" x14ac:dyDescent="0.2">
      <c r="A2034" s="2" t="s">
        <v>2111</v>
      </c>
      <c r="B2034" s="2" t="s">
        <v>2036</v>
      </c>
      <c r="C2034" s="2" t="s">
        <v>29</v>
      </c>
      <c r="D2034" s="3">
        <v>3542</v>
      </c>
      <c r="E2034" s="4" t="s">
        <v>30</v>
      </c>
      <c r="F2034" s="5">
        <v>1.26</v>
      </c>
      <c r="G2034" s="4" t="s">
        <v>31</v>
      </c>
      <c r="H2034" s="6">
        <f t="shared" si="31"/>
        <v>4462.92</v>
      </c>
    </row>
    <row r="2035" spans="1:8" x14ac:dyDescent="0.2">
      <c r="A2035" s="2" t="s">
        <v>2112</v>
      </c>
      <c r="B2035" s="2" t="s">
        <v>2036</v>
      </c>
      <c r="C2035" s="2" t="s">
        <v>50</v>
      </c>
      <c r="D2035" s="3">
        <v>3627</v>
      </c>
      <c r="E2035" s="4" t="s">
        <v>20</v>
      </c>
      <c r="F2035" s="5">
        <v>1.1299999999999999</v>
      </c>
      <c r="G2035" s="4" t="s">
        <v>21</v>
      </c>
      <c r="H2035" s="6">
        <f t="shared" si="31"/>
        <v>4098.5099999999993</v>
      </c>
    </row>
    <row r="2036" spans="1:8" x14ac:dyDescent="0.2">
      <c r="A2036" s="2" t="s">
        <v>2113</v>
      </c>
      <c r="B2036" s="2" t="s">
        <v>2036</v>
      </c>
      <c r="C2036" s="2" t="s">
        <v>50</v>
      </c>
      <c r="D2036" s="3">
        <v>295</v>
      </c>
      <c r="E2036" s="4" t="s">
        <v>20</v>
      </c>
      <c r="F2036" s="5">
        <v>0.74</v>
      </c>
      <c r="G2036" s="4" t="s">
        <v>21</v>
      </c>
      <c r="H2036" s="6">
        <f t="shared" si="31"/>
        <v>218.3</v>
      </c>
    </row>
    <row r="2037" spans="1:8" x14ac:dyDescent="0.2">
      <c r="A2037" s="2" t="s">
        <v>2114</v>
      </c>
      <c r="B2037" s="2" t="s">
        <v>2036</v>
      </c>
      <c r="C2037" s="2" t="s">
        <v>46</v>
      </c>
      <c r="D2037" s="3">
        <v>2062</v>
      </c>
      <c r="E2037" s="4" t="s">
        <v>20</v>
      </c>
      <c r="F2037" s="5">
        <v>3.55</v>
      </c>
      <c r="G2037" s="4" t="s">
        <v>21</v>
      </c>
      <c r="H2037" s="6">
        <f t="shared" si="31"/>
        <v>7320.0999999999995</v>
      </c>
    </row>
    <row r="2038" spans="1:8" x14ac:dyDescent="0.2">
      <c r="A2038" s="2" t="s">
        <v>2115</v>
      </c>
      <c r="B2038" s="2" t="s">
        <v>2036</v>
      </c>
      <c r="C2038" s="2" t="s">
        <v>33</v>
      </c>
      <c r="D2038" s="3">
        <v>4087</v>
      </c>
      <c r="E2038" s="4" t="s">
        <v>34</v>
      </c>
      <c r="F2038" s="5">
        <v>3.87</v>
      </c>
      <c r="G2038" s="4" t="s">
        <v>35</v>
      </c>
      <c r="H2038" s="6">
        <f t="shared" si="31"/>
        <v>15816.69</v>
      </c>
    </row>
    <row r="2039" spans="1:8" x14ac:dyDescent="0.2">
      <c r="A2039" s="2" t="s">
        <v>2116</v>
      </c>
      <c r="B2039" s="2" t="s">
        <v>2036</v>
      </c>
      <c r="C2039" s="2" t="s">
        <v>33</v>
      </c>
      <c r="D2039" s="3">
        <v>319</v>
      </c>
      <c r="E2039" s="4" t="s">
        <v>34</v>
      </c>
      <c r="F2039" s="5">
        <v>5.16</v>
      </c>
      <c r="G2039" s="4" t="s">
        <v>35</v>
      </c>
      <c r="H2039" s="6">
        <f t="shared" si="31"/>
        <v>1646.04</v>
      </c>
    </row>
    <row r="2040" spans="1:8" x14ac:dyDescent="0.2">
      <c r="A2040" s="2" t="s">
        <v>2117</v>
      </c>
      <c r="B2040" s="2" t="s">
        <v>2036</v>
      </c>
      <c r="C2040" s="2" t="s">
        <v>86</v>
      </c>
      <c r="D2040" s="3">
        <v>1251</v>
      </c>
      <c r="E2040" s="4" t="s">
        <v>72</v>
      </c>
      <c r="F2040" s="5">
        <v>8780.08</v>
      </c>
      <c r="G2040" s="4" t="s">
        <v>73</v>
      </c>
      <c r="H2040" s="6">
        <f t="shared" si="31"/>
        <v>10983880.08</v>
      </c>
    </row>
    <row r="2041" spans="1:8" x14ac:dyDescent="0.2">
      <c r="A2041" s="2" t="s">
        <v>2118</v>
      </c>
      <c r="B2041" s="2" t="s">
        <v>2036</v>
      </c>
      <c r="C2041" s="2" t="s">
        <v>67</v>
      </c>
      <c r="D2041" s="3">
        <v>4717</v>
      </c>
      <c r="E2041" s="4" t="s">
        <v>24</v>
      </c>
      <c r="F2041" s="5">
        <v>0.3</v>
      </c>
      <c r="G2041" s="4" t="s">
        <v>25</v>
      </c>
      <c r="H2041" s="6">
        <f t="shared" si="31"/>
        <v>1415.1</v>
      </c>
    </row>
    <row r="2042" spans="1:8" x14ac:dyDescent="0.2">
      <c r="A2042" s="2" t="s">
        <v>2119</v>
      </c>
      <c r="B2042" s="2" t="s">
        <v>2036</v>
      </c>
      <c r="C2042" s="2" t="s">
        <v>48</v>
      </c>
      <c r="D2042" s="3">
        <v>3926</v>
      </c>
      <c r="E2042" s="4" t="s">
        <v>24</v>
      </c>
      <c r="F2042" s="5">
        <v>0.12</v>
      </c>
      <c r="G2042" s="4" t="s">
        <v>25</v>
      </c>
      <c r="H2042" s="6">
        <f t="shared" si="31"/>
        <v>471.12</v>
      </c>
    </row>
    <row r="2043" spans="1:8" x14ac:dyDescent="0.2">
      <c r="A2043" s="2" t="s">
        <v>2120</v>
      </c>
      <c r="B2043" s="2" t="s">
        <v>2036</v>
      </c>
      <c r="C2043" s="2" t="s">
        <v>27</v>
      </c>
      <c r="D2043" s="3">
        <v>4434</v>
      </c>
      <c r="E2043" s="4" t="s">
        <v>20</v>
      </c>
      <c r="F2043" s="5">
        <v>1.47</v>
      </c>
      <c r="G2043" s="4" t="s">
        <v>21</v>
      </c>
      <c r="H2043" s="6">
        <f t="shared" si="31"/>
        <v>6517.98</v>
      </c>
    </row>
    <row r="2044" spans="1:8" x14ac:dyDescent="0.2">
      <c r="A2044" s="2" t="s">
        <v>2121</v>
      </c>
      <c r="B2044" s="2" t="s">
        <v>2036</v>
      </c>
      <c r="C2044" s="2" t="s">
        <v>67</v>
      </c>
      <c r="D2044" s="3">
        <v>3959</v>
      </c>
      <c r="E2044" s="4" t="s">
        <v>24</v>
      </c>
      <c r="F2044" s="5">
        <v>0.34</v>
      </c>
      <c r="G2044" s="4" t="s">
        <v>25</v>
      </c>
      <c r="H2044" s="6">
        <f t="shared" si="31"/>
        <v>1346.0600000000002</v>
      </c>
    </row>
    <row r="2045" spans="1:8" x14ac:dyDescent="0.2">
      <c r="A2045" s="2" t="s">
        <v>2122</v>
      </c>
      <c r="B2045" s="2" t="s">
        <v>2036</v>
      </c>
      <c r="C2045" s="2" t="s">
        <v>29</v>
      </c>
      <c r="D2045" s="3">
        <v>2950</v>
      </c>
      <c r="E2045" s="4" t="s">
        <v>30</v>
      </c>
      <c r="F2045" s="5">
        <v>1.4</v>
      </c>
      <c r="G2045" s="4" t="s">
        <v>31</v>
      </c>
      <c r="H2045" s="6">
        <f t="shared" si="31"/>
        <v>4130</v>
      </c>
    </row>
    <row r="2046" spans="1:8" x14ac:dyDescent="0.2">
      <c r="A2046" s="2" t="s">
        <v>2123</v>
      </c>
      <c r="B2046" s="2" t="s">
        <v>2036</v>
      </c>
      <c r="C2046" s="2" t="s">
        <v>71</v>
      </c>
      <c r="D2046" s="3">
        <v>3291</v>
      </c>
      <c r="E2046" s="4" t="s">
        <v>72</v>
      </c>
      <c r="F2046" s="5">
        <v>2433.12</v>
      </c>
      <c r="G2046" s="4" t="s">
        <v>73</v>
      </c>
      <c r="H2046" s="6">
        <f t="shared" si="31"/>
        <v>8007397.9199999999</v>
      </c>
    </row>
    <row r="2047" spans="1:8" x14ac:dyDescent="0.2">
      <c r="A2047" s="2" t="s">
        <v>2124</v>
      </c>
      <c r="B2047" s="2" t="s">
        <v>2036</v>
      </c>
      <c r="C2047" s="2" t="s">
        <v>27</v>
      </c>
      <c r="D2047" s="3">
        <v>3002</v>
      </c>
      <c r="E2047" s="4" t="s">
        <v>20</v>
      </c>
      <c r="F2047" s="5">
        <v>1.84</v>
      </c>
      <c r="G2047" s="4" t="s">
        <v>21</v>
      </c>
      <c r="H2047" s="6">
        <f t="shared" si="31"/>
        <v>5523.68</v>
      </c>
    </row>
    <row r="2048" spans="1:8" x14ac:dyDescent="0.2">
      <c r="A2048" s="2" t="s">
        <v>2125</v>
      </c>
      <c r="B2048" s="2" t="s">
        <v>2036</v>
      </c>
      <c r="C2048" s="2" t="s">
        <v>57</v>
      </c>
      <c r="D2048" s="3">
        <v>669</v>
      </c>
      <c r="E2048" s="4" t="s">
        <v>20</v>
      </c>
      <c r="F2048" s="5">
        <v>0.94</v>
      </c>
      <c r="G2048" s="4" t="s">
        <v>21</v>
      </c>
      <c r="H2048" s="6">
        <f t="shared" si="31"/>
        <v>628.86</v>
      </c>
    </row>
    <row r="2049" spans="1:8" x14ac:dyDescent="0.2">
      <c r="A2049" s="2" t="s">
        <v>2126</v>
      </c>
      <c r="B2049" s="2" t="s">
        <v>2036</v>
      </c>
      <c r="C2049" s="2" t="s">
        <v>71</v>
      </c>
      <c r="D2049" s="3">
        <v>1673</v>
      </c>
      <c r="E2049" s="4" t="s">
        <v>72</v>
      </c>
      <c r="F2049" s="5">
        <v>2505.9699999999998</v>
      </c>
      <c r="G2049" s="4" t="s">
        <v>73</v>
      </c>
      <c r="H2049" s="6">
        <f t="shared" si="31"/>
        <v>4192487.8099999996</v>
      </c>
    </row>
    <row r="2050" spans="1:8" x14ac:dyDescent="0.2">
      <c r="A2050" s="2" t="s">
        <v>2127</v>
      </c>
      <c r="B2050" s="2" t="s">
        <v>2036</v>
      </c>
      <c r="C2050" s="2" t="s">
        <v>37</v>
      </c>
      <c r="D2050" s="3">
        <v>3157</v>
      </c>
      <c r="E2050" s="4" t="s">
        <v>38</v>
      </c>
      <c r="F2050" s="5">
        <v>3.98</v>
      </c>
      <c r="G2050" s="4" t="s">
        <v>39</v>
      </c>
      <c r="H2050" s="6">
        <f t="shared" ref="H2050:H2113" si="32">D2050*F2050</f>
        <v>12564.86</v>
      </c>
    </row>
    <row r="2051" spans="1:8" x14ac:dyDescent="0.2">
      <c r="A2051" s="2" t="s">
        <v>2128</v>
      </c>
      <c r="B2051" s="2" t="s">
        <v>2036</v>
      </c>
      <c r="C2051" s="2" t="s">
        <v>71</v>
      </c>
      <c r="D2051" s="3">
        <v>3205</v>
      </c>
      <c r="E2051" s="4" t="s">
        <v>72</v>
      </c>
      <c r="F2051" s="5">
        <v>2937.88</v>
      </c>
      <c r="G2051" s="4" t="s">
        <v>73</v>
      </c>
      <c r="H2051" s="6">
        <f t="shared" si="32"/>
        <v>9415905.4000000004</v>
      </c>
    </row>
    <row r="2052" spans="1:8" x14ac:dyDescent="0.2">
      <c r="A2052" s="2" t="s">
        <v>2129</v>
      </c>
      <c r="B2052" s="2" t="s">
        <v>2036</v>
      </c>
      <c r="C2052" s="2" t="s">
        <v>19</v>
      </c>
      <c r="D2052" s="3">
        <v>3995</v>
      </c>
      <c r="E2052" s="4" t="s">
        <v>20</v>
      </c>
      <c r="F2052" s="5">
        <v>1.1499999999999999</v>
      </c>
      <c r="G2052" s="4" t="s">
        <v>21</v>
      </c>
      <c r="H2052" s="6">
        <f t="shared" si="32"/>
        <v>4594.25</v>
      </c>
    </row>
    <row r="2053" spans="1:8" x14ac:dyDescent="0.2">
      <c r="A2053" s="2" t="s">
        <v>2130</v>
      </c>
      <c r="B2053" s="2" t="s">
        <v>2036</v>
      </c>
      <c r="C2053" s="2" t="s">
        <v>23</v>
      </c>
      <c r="D2053" s="3">
        <v>1562</v>
      </c>
      <c r="E2053" s="4" t="s">
        <v>24</v>
      </c>
      <c r="F2053" s="5">
        <v>12.84</v>
      </c>
      <c r="G2053" s="4" t="s">
        <v>25</v>
      </c>
      <c r="H2053" s="6">
        <f t="shared" si="32"/>
        <v>20056.079999999998</v>
      </c>
    </row>
    <row r="2054" spans="1:8" x14ac:dyDescent="0.2">
      <c r="A2054" s="2" t="s">
        <v>2131</v>
      </c>
      <c r="B2054" s="2" t="s">
        <v>2036</v>
      </c>
      <c r="C2054" s="2" t="s">
        <v>44</v>
      </c>
      <c r="D2054" s="3">
        <v>217</v>
      </c>
      <c r="E2054" s="4" t="s">
        <v>24</v>
      </c>
      <c r="F2054" s="5">
        <v>1.4</v>
      </c>
      <c r="G2054" s="4" t="s">
        <v>25</v>
      </c>
      <c r="H2054" s="6">
        <f t="shared" si="32"/>
        <v>303.79999999999995</v>
      </c>
    </row>
    <row r="2055" spans="1:8" x14ac:dyDescent="0.2">
      <c r="A2055" s="2" t="s">
        <v>2132</v>
      </c>
      <c r="B2055" s="2" t="s">
        <v>2036</v>
      </c>
      <c r="C2055" s="2" t="s">
        <v>46</v>
      </c>
      <c r="D2055" s="3">
        <v>1963</v>
      </c>
      <c r="E2055" s="4" t="s">
        <v>20</v>
      </c>
      <c r="F2055" s="5">
        <v>2.98</v>
      </c>
      <c r="G2055" s="4" t="s">
        <v>21</v>
      </c>
      <c r="H2055" s="6">
        <f t="shared" si="32"/>
        <v>5849.74</v>
      </c>
    </row>
    <row r="2056" spans="1:8" x14ac:dyDescent="0.2">
      <c r="A2056" s="2" t="s">
        <v>2133</v>
      </c>
      <c r="B2056" s="2" t="s">
        <v>2036</v>
      </c>
      <c r="C2056" s="2" t="s">
        <v>27</v>
      </c>
      <c r="D2056" s="3">
        <v>4438</v>
      </c>
      <c r="E2056" s="4" t="s">
        <v>20</v>
      </c>
      <c r="F2056" s="5">
        <v>1.97</v>
      </c>
      <c r="G2056" s="4" t="s">
        <v>21</v>
      </c>
      <c r="H2056" s="6">
        <f t="shared" si="32"/>
        <v>8742.86</v>
      </c>
    </row>
    <row r="2057" spans="1:8" x14ac:dyDescent="0.2">
      <c r="A2057" s="2" t="s">
        <v>2134</v>
      </c>
      <c r="B2057" s="2" t="s">
        <v>2036</v>
      </c>
      <c r="C2057" s="2" t="s">
        <v>48</v>
      </c>
      <c r="D2057" s="3">
        <v>4384</v>
      </c>
      <c r="E2057" s="4" t="s">
        <v>24</v>
      </c>
      <c r="F2057" s="5">
        <v>0.19</v>
      </c>
      <c r="G2057" s="4" t="s">
        <v>25</v>
      </c>
      <c r="H2057" s="6">
        <f t="shared" si="32"/>
        <v>832.96</v>
      </c>
    </row>
    <row r="2058" spans="1:8" x14ac:dyDescent="0.2">
      <c r="A2058" s="2" t="s">
        <v>2135</v>
      </c>
      <c r="B2058" s="2" t="s">
        <v>2036</v>
      </c>
      <c r="C2058" s="2" t="s">
        <v>23</v>
      </c>
      <c r="D2058" s="3">
        <v>144</v>
      </c>
      <c r="E2058" s="4" t="s">
        <v>24</v>
      </c>
      <c r="F2058" s="5">
        <v>12.22</v>
      </c>
      <c r="G2058" s="4" t="s">
        <v>25</v>
      </c>
      <c r="H2058" s="6">
        <f t="shared" si="32"/>
        <v>1759.68</v>
      </c>
    </row>
    <row r="2059" spans="1:8" x14ac:dyDescent="0.2">
      <c r="A2059" s="2" t="s">
        <v>2136</v>
      </c>
      <c r="B2059" s="2" t="s">
        <v>2036</v>
      </c>
      <c r="C2059" s="2" t="s">
        <v>37</v>
      </c>
      <c r="D2059" s="3">
        <v>2776</v>
      </c>
      <c r="E2059" s="4" t="s">
        <v>38</v>
      </c>
      <c r="F2059" s="5">
        <v>4.3600000000000003</v>
      </c>
      <c r="G2059" s="4" t="s">
        <v>39</v>
      </c>
      <c r="H2059" s="6">
        <f t="shared" si="32"/>
        <v>12103.36</v>
      </c>
    </row>
    <row r="2060" spans="1:8" x14ac:dyDescent="0.2">
      <c r="A2060" s="2" t="s">
        <v>2137</v>
      </c>
      <c r="B2060" s="2" t="s">
        <v>2036</v>
      </c>
      <c r="C2060" s="2" t="s">
        <v>37</v>
      </c>
      <c r="D2060" s="3">
        <v>3331</v>
      </c>
      <c r="E2060" s="4" t="s">
        <v>38</v>
      </c>
      <c r="F2060" s="5">
        <v>2.35</v>
      </c>
      <c r="G2060" s="4" t="s">
        <v>39</v>
      </c>
      <c r="H2060" s="6">
        <f t="shared" si="32"/>
        <v>7827.85</v>
      </c>
    </row>
    <row r="2061" spans="1:8" x14ac:dyDescent="0.2">
      <c r="A2061" s="2" t="s">
        <v>2138</v>
      </c>
      <c r="B2061" s="2" t="s">
        <v>2036</v>
      </c>
      <c r="C2061" s="2" t="s">
        <v>78</v>
      </c>
      <c r="D2061" s="3">
        <v>3764</v>
      </c>
      <c r="E2061" s="4" t="s">
        <v>38</v>
      </c>
      <c r="F2061" s="5">
        <v>3.1</v>
      </c>
      <c r="G2061" s="4" t="s">
        <v>39</v>
      </c>
      <c r="H2061" s="6">
        <f t="shared" si="32"/>
        <v>11668.4</v>
      </c>
    </row>
    <row r="2062" spans="1:8" x14ac:dyDescent="0.2">
      <c r="A2062" s="2" t="s">
        <v>2139</v>
      </c>
      <c r="B2062" s="2" t="s">
        <v>2036</v>
      </c>
      <c r="C2062" s="2" t="s">
        <v>29</v>
      </c>
      <c r="D2062" s="3">
        <v>1230</v>
      </c>
      <c r="E2062" s="4" t="s">
        <v>30</v>
      </c>
      <c r="F2062" s="5">
        <v>1.89</v>
      </c>
      <c r="G2062" s="4" t="s">
        <v>31</v>
      </c>
      <c r="H2062" s="6">
        <f t="shared" si="32"/>
        <v>2324.6999999999998</v>
      </c>
    </row>
    <row r="2063" spans="1:8" x14ac:dyDescent="0.2">
      <c r="A2063" s="2" t="s">
        <v>2140</v>
      </c>
      <c r="B2063" s="2" t="s">
        <v>2036</v>
      </c>
      <c r="C2063" s="2" t="s">
        <v>42</v>
      </c>
      <c r="D2063" s="3">
        <v>600</v>
      </c>
      <c r="E2063" s="4" t="s">
        <v>24</v>
      </c>
      <c r="F2063" s="5">
        <v>3.61</v>
      </c>
      <c r="G2063" s="4" t="s">
        <v>25</v>
      </c>
      <c r="H2063" s="6">
        <f t="shared" si="32"/>
        <v>2166</v>
      </c>
    </row>
    <row r="2064" spans="1:8" x14ac:dyDescent="0.2">
      <c r="A2064" s="2" t="s">
        <v>2141</v>
      </c>
      <c r="B2064" s="2" t="s">
        <v>2036</v>
      </c>
      <c r="C2064" s="2" t="s">
        <v>89</v>
      </c>
      <c r="D2064" s="3">
        <v>4015</v>
      </c>
      <c r="E2064" s="4" t="s">
        <v>30</v>
      </c>
      <c r="F2064" s="5">
        <v>2.58</v>
      </c>
      <c r="G2064" s="4" t="s">
        <v>31</v>
      </c>
      <c r="H2064" s="6">
        <f t="shared" si="32"/>
        <v>10358.700000000001</v>
      </c>
    </row>
    <row r="2065" spans="1:8" x14ac:dyDescent="0.2">
      <c r="A2065" s="2" t="s">
        <v>2142</v>
      </c>
      <c r="B2065" s="2" t="s">
        <v>2036</v>
      </c>
      <c r="C2065" s="2" t="s">
        <v>48</v>
      </c>
      <c r="D2065" s="3">
        <v>385</v>
      </c>
      <c r="E2065" s="4" t="s">
        <v>24</v>
      </c>
      <c r="F2065" s="5">
        <v>0.09</v>
      </c>
      <c r="G2065" s="4" t="s">
        <v>25</v>
      </c>
      <c r="H2065" s="6">
        <f t="shared" si="32"/>
        <v>34.65</v>
      </c>
    </row>
    <row r="2066" spans="1:8" x14ac:dyDescent="0.2">
      <c r="A2066" s="2" t="s">
        <v>2143</v>
      </c>
      <c r="B2066" s="2" t="s">
        <v>2036</v>
      </c>
      <c r="C2066" s="2" t="s">
        <v>89</v>
      </c>
      <c r="D2066" s="3">
        <v>127</v>
      </c>
      <c r="E2066" s="4" t="s">
        <v>30</v>
      </c>
      <c r="F2066" s="5">
        <v>2.0099999999999998</v>
      </c>
      <c r="G2066" s="4" t="s">
        <v>31</v>
      </c>
      <c r="H2066" s="6">
        <f t="shared" si="32"/>
        <v>255.26999999999998</v>
      </c>
    </row>
    <row r="2067" spans="1:8" x14ac:dyDescent="0.2">
      <c r="A2067" s="2" t="s">
        <v>2144</v>
      </c>
      <c r="B2067" s="2" t="s">
        <v>2036</v>
      </c>
      <c r="C2067" s="2" t="s">
        <v>37</v>
      </c>
      <c r="D2067" s="3">
        <v>2527</v>
      </c>
      <c r="E2067" s="4" t="s">
        <v>38</v>
      </c>
      <c r="F2067" s="5">
        <v>4.46</v>
      </c>
      <c r="G2067" s="4" t="s">
        <v>39</v>
      </c>
      <c r="H2067" s="6">
        <f t="shared" si="32"/>
        <v>11270.42</v>
      </c>
    </row>
    <row r="2068" spans="1:8" x14ac:dyDescent="0.2">
      <c r="A2068" s="2" t="s">
        <v>2145</v>
      </c>
      <c r="B2068" s="2" t="s">
        <v>2036</v>
      </c>
      <c r="C2068" s="2" t="s">
        <v>50</v>
      </c>
      <c r="D2068" s="3">
        <v>3747</v>
      </c>
      <c r="E2068" s="4" t="s">
        <v>20</v>
      </c>
      <c r="F2068" s="5">
        <v>1.07</v>
      </c>
      <c r="G2068" s="4" t="s">
        <v>21</v>
      </c>
      <c r="H2068" s="6">
        <f t="shared" si="32"/>
        <v>4009.2900000000004</v>
      </c>
    </row>
    <row r="2069" spans="1:8" x14ac:dyDescent="0.2">
      <c r="A2069" s="2" t="s">
        <v>2146</v>
      </c>
      <c r="B2069" s="2" t="s">
        <v>2036</v>
      </c>
      <c r="C2069" s="2" t="s">
        <v>46</v>
      </c>
      <c r="D2069" s="3">
        <v>533</v>
      </c>
      <c r="E2069" s="4" t="s">
        <v>20</v>
      </c>
      <c r="F2069" s="5">
        <v>3.64</v>
      </c>
      <c r="G2069" s="4" t="s">
        <v>21</v>
      </c>
      <c r="H2069" s="6">
        <f t="shared" si="32"/>
        <v>1940.1200000000001</v>
      </c>
    </row>
    <row r="2070" spans="1:8" x14ac:dyDescent="0.2">
      <c r="A2070" s="2" t="s">
        <v>2147</v>
      </c>
      <c r="B2070" s="2" t="s">
        <v>2036</v>
      </c>
      <c r="C2070" s="2" t="s">
        <v>50</v>
      </c>
      <c r="D2070" s="3">
        <v>945</v>
      </c>
      <c r="E2070" s="4" t="s">
        <v>20</v>
      </c>
      <c r="F2070" s="5">
        <v>1</v>
      </c>
      <c r="G2070" s="4" t="s">
        <v>21</v>
      </c>
      <c r="H2070" s="6">
        <f t="shared" si="32"/>
        <v>945</v>
      </c>
    </row>
    <row r="2071" spans="1:8" x14ac:dyDescent="0.2">
      <c r="A2071" s="2" t="s">
        <v>2148</v>
      </c>
      <c r="B2071" s="2" t="s">
        <v>2036</v>
      </c>
      <c r="C2071" s="2" t="s">
        <v>147</v>
      </c>
      <c r="D2071" s="3">
        <v>1816</v>
      </c>
      <c r="E2071" s="4" t="s">
        <v>53</v>
      </c>
      <c r="F2071" s="5">
        <v>8.5</v>
      </c>
      <c r="G2071" s="4" t="s">
        <v>54</v>
      </c>
      <c r="H2071" s="6">
        <f t="shared" si="32"/>
        <v>15436</v>
      </c>
    </row>
    <row r="2072" spans="1:8" x14ac:dyDescent="0.2">
      <c r="A2072" s="2" t="s">
        <v>2149</v>
      </c>
      <c r="B2072" s="2" t="s">
        <v>2036</v>
      </c>
      <c r="C2072" s="2" t="s">
        <v>44</v>
      </c>
      <c r="D2072" s="3">
        <v>3501</v>
      </c>
      <c r="E2072" s="4" t="s">
        <v>24</v>
      </c>
      <c r="F2072" s="5">
        <v>1.1399999999999999</v>
      </c>
      <c r="G2072" s="4" t="s">
        <v>25</v>
      </c>
      <c r="H2072" s="6">
        <f t="shared" si="32"/>
        <v>3991.14</v>
      </c>
    </row>
    <row r="2073" spans="1:8" x14ac:dyDescent="0.2">
      <c r="A2073" s="2" t="s">
        <v>2150</v>
      </c>
      <c r="B2073" s="2" t="s">
        <v>2036</v>
      </c>
      <c r="C2073" s="2" t="s">
        <v>67</v>
      </c>
      <c r="D2073" s="3">
        <v>2666</v>
      </c>
      <c r="E2073" s="4" t="s">
        <v>24</v>
      </c>
      <c r="F2073" s="5">
        <v>0.34</v>
      </c>
      <c r="G2073" s="4" t="s">
        <v>25</v>
      </c>
      <c r="H2073" s="6">
        <f t="shared" si="32"/>
        <v>906.44</v>
      </c>
    </row>
    <row r="2074" spans="1:8" x14ac:dyDescent="0.2">
      <c r="A2074" s="2" t="s">
        <v>2151</v>
      </c>
      <c r="B2074" s="2" t="s">
        <v>2036</v>
      </c>
      <c r="C2074" s="2" t="s">
        <v>46</v>
      </c>
      <c r="D2074" s="3">
        <v>4481</v>
      </c>
      <c r="E2074" s="4" t="s">
        <v>20</v>
      </c>
      <c r="F2074" s="5">
        <v>2.27</v>
      </c>
      <c r="G2074" s="4" t="s">
        <v>21</v>
      </c>
      <c r="H2074" s="6">
        <f t="shared" si="32"/>
        <v>10171.870000000001</v>
      </c>
    </row>
    <row r="2075" spans="1:8" x14ac:dyDescent="0.2">
      <c r="A2075" s="2" t="s">
        <v>2152</v>
      </c>
      <c r="B2075" s="2" t="s">
        <v>2036</v>
      </c>
      <c r="C2075" s="2" t="s">
        <v>44</v>
      </c>
      <c r="D2075" s="3">
        <v>383</v>
      </c>
      <c r="E2075" s="4" t="s">
        <v>24</v>
      </c>
      <c r="F2075" s="5">
        <v>1.32</v>
      </c>
      <c r="G2075" s="4" t="s">
        <v>25</v>
      </c>
      <c r="H2075" s="6">
        <f t="shared" si="32"/>
        <v>505.56</v>
      </c>
    </row>
    <row r="2076" spans="1:8" x14ac:dyDescent="0.2">
      <c r="A2076" s="2" t="s">
        <v>2153</v>
      </c>
      <c r="B2076" s="2" t="s">
        <v>2036</v>
      </c>
      <c r="C2076" s="2" t="s">
        <v>57</v>
      </c>
      <c r="D2076" s="3">
        <v>527</v>
      </c>
      <c r="E2076" s="4" t="s">
        <v>20</v>
      </c>
      <c r="F2076" s="5">
        <v>0.65</v>
      </c>
      <c r="G2076" s="4" t="s">
        <v>21</v>
      </c>
      <c r="H2076" s="6">
        <f t="shared" si="32"/>
        <v>342.55</v>
      </c>
    </row>
    <row r="2077" spans="1:8" x14ac:dyDescent="0.2">
      <c r="A2077" s="2" t="s">
        <v>2154</v>
      </c>
      <c r="B2077" s="2" t="s">
        <v>2036</v>
      </c>
      <c r="C2077" s="2" t="s">
        <v>89</v>
      </c>
      <c r="D2077" s="3">
        <v>3410</v>
      </c>
      <c r="E2077" s="4" t="s">
        <v>30</v>
      </c>
      <c r="F2077" s="5">
        <v>2</v>
      </c>
      <c r="G2077" s="4" t="s">
        <v>31</v>
      </c>
      <c r="H2077" s="6">
        <f t="shared" si="32"/>
        <v>6820</v>
      </c>
    </row>
    <row r="2078" spans="1:8" x14ac:dyDescent="0.2">
      <c r="A2078" s="2" t="s">
        <v>2155</v>
      </c>
      <c r="B2078" s="2" t="s">
        <v>2036</v>
      </c>
      <c r="C2078" s="2" t="s">
        <v>19</v>
      </c>
      <c r="D2078" s="3">
        <v>4543</v>
      </c>
      <c r="E2078" s="4" t="s">
        <v>20</v>
      </c>
      <c r="F2078" s="5">
        <v>1.2</v>
      </c>
      <c r="G2078" s="4" t="s">
        <v>21</v>
      </c>
      <c r="H2078" s="6">
        <f t="shared" si="32"/>
        <v>5451.5999999999995</v>
      </c>
    </row>
    <row r="2079" spans="1:8" x14ac:dyDescent="0.2">
      <c r="A2079" s="2" t="s">
        <v>2156</v>
      </c>
      <c r="B2079" s="2" t="s">
        <v>2036</v>
      </c>
      <c r="C2079" s="2" t="s">
        <v>42</v>
      </c>
      <c r="D2079" s="3">
        <v>4777</v>
      </c>
      <c r="E2079" s="4" t="s">
        <v>24</v>
      </c>
      <c r="F2079" s="5">
        <v>3.62</v>
      </c>
      <c r="G2079" s="4" t="s">
        <v>25</v>
      </c>
      <c r="H2079" s="6">
        <f t="shared" si="32"/>
        <v>17292.740000000002</v>
      </c>
    </row>
    <row r="2080" spans="1:8" x14ac:dyDescent="0.2">
      <c r="A2080" s="2" t="s">
        <v>2157</v>
      </c>
      <c r="B2080" s="2" t="s">
        <v>2036</v>
      </c>
      <c r="C2080" s="2" t="s">
        <v>50</v>
      </c>
      <c r="D2080" s="3">
        <v>3091</v>
      </c>
      <c r="E2080" s="4" t="s">
        <v>20</v>
      </c>
      <c r="F2080" s="5">
        <v>1.17</v>
      </c>
      <c r="G2080" s="4" t="s">
        <v>21</v>
      </c>
      <c r="H2080" s="6">
        <f t="shared" si="32"/>
        <v>3616.47</v>
      </c>
    </row>
    <row r="2081" spans="1:8" x14ac:dyDescent="0.2">
      <c r="A2081" s="2" t="s">
        <v>2158</v>
      </c>
      <c r="B2081" s="2" t="s">
        <v>2036</v>
      </c>
      <c r="C2081" s="2" t="s">
        <v>33</v>
      </c>
      <c r="D2081" s="3">
        <v>3999</v>
      </c>
      <c r="E2081" s="4" t="s">
        <v>34</v>
      </c>
      <c r="F2081" s="5">
        <v>3.7</v>
      </c>
      <c r="G2081" s="4" t="s">
        <v>35</v>
      </c>
      <c r="H2081" s="6">
        <f t="shared" si="32"/>
        <v>14796.300000000001</v>
      </c>
    </row>
    <row r="2082" spans="1:8" x14ac:dyDescent="0.2">
      <c r="A2082" s="2" t="s">
        <v>2159</v>
      </c>
      <c r="B2082" s="2" t="s">
        <v>2036</v>
      </c>
      <c r="C2082" s="2" t="s">
        <v>33</v>
      </c>
      <c r="D2082" s="3">
        <v>1479</v>
      </c>
      <c r="E2082" s="4" t="s">
        <v>34</v>
      </c>
      <c r="F2082" s="5">
        <v>5.82</v>
      </c>
      <c r="G2082" s="4" t="s">
        <v>35</v>
      </c>
      <c r="H2082" s="6">
        <f t="shared" si="32"/>
        <v>8607.7800000000007</v>
      </c>
    </row>
    <row r="2083" spans="1:8" x14ac:dyDescent="0.2">
      <c r="A2083" s="2" t="s">
        <v>2160</v>
      </c>
      <c r="B2083" s="2" t="s">
        <v>2036</v>
      </c>
      <c r="C2083" s="2" t="s">
        <v>46</v>
      </c>
      <c r="D2083" s="3">
        <v>2334</v>
      </c>
      <c r="E2083" s="4" t="s">
        <v>20</v>
      </c>
      <c r="F2083" s="5">
        <v>2.83</v>
      </c>
      <c r="G2083" s="4" t="s">
        <v>21</v>
      </c>
      <c r="H2083" s="6">
        <f t="shared" si="32"/>
        <v>6605.22</v>
      </c>
    </row>
    <row r="2084" spans="1:8" x14ac:dyDescent="0.2">
      <c r="A2084" s="2" t="s">
        <v>2161</v>
      </c>
      <c r="B2084" s="2" t="s">
        <v>2036</v>
      </c>
      <c r="C2084" s="2" t="s">
        <v>48</v>
      </c>
      <c r="D2084" s="3">
        <v>1049</v>
      </c>
      <c r="E2084" s="4" t="s">
        <v>24</v>
      </c>
      <c r="F2084" s="5">
        <v>0.08</v>
      </c>
      <c r="G2084" s="4" t="s">
        <v>25</v>
      </c>
      <c r="H2084" s="6">
        <f t="shared" si="32"/>
        <v>83.92</v>
      </c>
    </row>
    <row r="2085" spans="1:8" x14ac:dyDescent="0.2">
      <c r="A2085" s="2" t="s">
        <v>2162</v>
      </c>
      <c r="B2085" s="2" t="s">
        <v>2036</v>
      </c>
      <c r="C2085" s="2" t="s">
        <v>86</v>
      </c>
      <c r="D2085" s="3">
        <v>4295</v>
      </c>
      <c r="E2085" s="4" t="s">
        <v>72</v>
      </c>
      <c r="F2085" s="5">
        <v>8430.59</v>
      </c>
      <c r="G2085" s="4" t="s">
        <v>73</v>
      </c>
      <c r="H2085" s="6">
        <f t="shared" si="32"/>
        <v>36209384.049999997</v>
      </c>
    </row>
    <row r="2086" spans="1:8" x14ac:dyDescent="0.2">
      <c r="A2086" s="2" t="s">
        <v>2163</v>
      </c>
      <c r="B2086" s="2" t="s">
        <v>2036</v>
      </c>
      <c r="C2086" s="2" t="s">
        <v>42</v>
      </c>
      <c r="D2086" s="3">
        <v>1439</v>
      </c>
      <c r="E2086" s="4" t="s">
        <v>24</v>
      </c>
      <c r="F2086" s="5">
        <v>5.33</v>
      </c>
      <c r="G2086" s="4" t="s">
        <v>25</v>
      </c>
      <c r="H2086" s="6">
        <f t="shared" si="32"/>
        <v>7669.87</v>
      </c>
    </row>
    <row r="2087" spans="1:8" x14ac:dyDescent="0.2">
      <c r="A2087" s="2" t="s">
        <v>2164</v>
      </c>
      <c r="B2087" s="2" t="s">
        <v>2036</v>
      </c>
      <c r="C2087" s="2" t="s">
        <v>37</v>
      </c>
      <c r="D2087" s="3">
        <v>4894</v>
      </c>
      <c r="E2087" s="4" t="s">
        <v>38</v>
      </c>
      <c r="F2087" s="5">
        <v>2.54</v>
      </c>
      <c r="G2087" s="4" t="s">
        <v>39</v>
      </c>
      <c r="H2087" s="6">
        <f t="shared" si="32"/>
        <v>12430.76</v>
      </c>
    </row>
    <row r="2088" spans="1:8" x14ac:dyDescent="0.2">
      <c r="A2088" s="2" t="s">
        <v>2165</v>
      </c>
      <c r="B2088" s="2" t="s">
        <v>2036</v>
      </c>
      <c r="C2088" s="2" t="s">
        <v>48</v>
      </c>
      <c r="D2088" s="3">
        <v>731</v>
      </c>
      <c r="E2088" s="4" t="s">
        <v>24</v>
      </c>
      <c r="F2088" s="5">
        <v>0.14000000000000001</v>
      </c>
      <c r="G2088" s="4" t="s">
        <v>25</v>
      </c>
      <c r="H2088" s="6">
        <f t="shared" si="32"/>
        <v>102.34</v>
      </c>
    </row>
    <row r="2089" spans="1:8" x14ac:dyDescent="0.2">
      <c r="A2089" s="2" t="s">
        <v>2166</v>
      </c>
      <c r="B2089" s="2" t="s">
        <v>2167</v>
      </c>
      <c r="C2089" s="2" t="s">
        <v>71</v>
      </c>
      <c r="D2089" s="3">
        <v>2859</v>
      </c>
      <c r="E2089" s="4" t="s">
        <v>72</v>
      </c>
      <c r="F2089" s="5">
        <v>2651.27</v>
      </c>
      <c r="G2089" s="4" t="s">
        <v>73</v>
      </c>
      <c r="H2089" s="6">
        <f t="shared" si="32"/>
        <v>7579980.9299999997</v>
      </c>
    </row>
    <row r="2090" spans="1:8" x14ac:dyDescent="0.2">
      <c r="A2090" s="2" t="s">
        <v>2168</v>
      </c>
      <c r="B2090" s="2" t="s">
        <v>2167</v>
      </c>
      <c r="C2090" s="2" t="s">
        <v>29</v>
      </c>
      <c r="D2090" s="3">
        <v>1940</v>
      </c>
      <c r="E2090" s="4" t="s">
        <v>30</v>
      </c>
      <c r="F2090" s="5">
        <v>1.23</v>
      </c>
      <c r="G2090" s="4" t="s">
        <v>31</v>
      </c>
      <c r="H2090" s="6">
        <f t="shared" si="32"/>
        <v>2386.1999999999998</v>
      </c>
    </row>
    <row r="2091" spans="1:8" x14ac:dyDescent="0.2">
      <c r="A2091" s="2" t="s">
        <v>2169</v>
      </c>
      <c r="B2091" s="2" t="s">
        <v>2167</v>
      </c>
      <c r="C2091" s="2" t="s">
        <v>78</v>
      </c>
      <c r="D2091" s="3">
        <v>793</v>
      </c>
      <c r="E2091" s="4" t="s">
        <v>38</v>
      </c>
      <c r="F2091" s="5">
        <v>2.5499999999999998</v>
      </c>
      <c r="G2091" s="4" t="s">
        <v>39</v>
      </c>
      <c r="H2091" s="6">
        <f t="shared" si="32"/>
        <v>2022.1499999999999</v>
      </c>
    </row>
    <row r="2092" spans="1:8" x14ac:dyDescent="0.2">
      <c r="A2092" s="2" t="s">
        <v>2170</v>
      </c>
      <c r="B2092" s="2" t="s">
        <v>2167</v>
      </c>
      <c r="C2092" s="2" t="s">
        <v>29</v>
      </c>
      <c r="D2092" s="3">
        <v>4167</v>
      </c>
      <c r="E2092" s="4" t="s">
        <v>30</v>
      </c>
      <c r="F2092" s="5">
        <v>1.26</v>
      </c>
      <c r="G2092" s="4" t="s">
        <v>31</v>
      </c>
      <c r="H2092" s="6">
        <f t="shared" si="32"/>
        <v>5250.42</v>
      </c>
    </row>
    <row r="2093" spans="1:8" x14ac:dyDescent="0.2">
      <c r="A2093" s="2" t="s">
        <v>2171</v>
      </c>
      <c r="B2093" s="2" t="s">
        <v>2167</v>
      </c>
      <c r="C2093" s="2" t="s">
        <v>44</v>
      </c>
      <c r="D2093" s="3">
        <v>2274</v>
      </c>
      <c r="E2093" s="4" t="s">
        <v>24</v>
      </c>
      <c r="F2093" s="5">
        <v>0.94</v>
      </c>
      <c r="G2093" s="4" t="s">
        <v>25</v>
      </c>
      <c r="H2093" s="6">
        <f t="shared" si="32"/>
        <v>2137.56</v>
      </c>
    </row>
    <row r="2094" spans="1:8" x14ac:dyDescent="0.2">
      <c r="A2094" s="2" t="s">
        <v>2172</v>
      </c>
      <c r="B2094" s="2" t="s">
        <v>2167</v>
      </c>
      <c r="C2094" s="2" t="s">
        <v>50</v>
      </c>
      <c r="D2094" s="3">
        <v>1232</v>
      </c>
      <c r="E2094" s="4" t="s">
        <v>20</v>
      </c>
      <c r="F2094" s="5">
        <v>1.1100000000000001</v>
      </c>
      <c r="G2094" s="4" t="s">
        <v>21</v>
      </c>
      <c r="H2094" s="6">
        <f t="shared" si="32"/>
        <v>1367.5200000000002</v>
      </c>
    </row>
    <row r="2095" spans="1:8" x14ac:dyDescent="0.2">
      <c r="A2095" s="2" t="s">
        <v>2173</v>
      </c>
      <c r="B2095" s="2" t="s">
        <v>2167</v>
      </c>
      <c r="C2095" s="2" t="s">
        <v>48</v>
      </c>
      <c r="D2095" s="3">
        <v>4085</v>
      </c>
      <c r="E2095" s="4" t="s">
        <v>24</v>
      </c>
      <c r="F2095" s="5">
        <v>0.08</v>
      </c>
      <c r="G2095" s="4" t="s">
        <v>25</v>
      </c>
      <c r="H2095" s="6">
        <f t="shared" si="32"/>
        <v>326.8</v>
      </c>
    </row>
    <row r="2096" spans="1:8" x14ac:dyDescent="0.2">
      <c r="A2096" s="2" t="s">
        <v>2174</v>
      </c>
      <c r="B2096" s="2" t="s">
        <v>2167</v>
      </c>
      <c r="C2096" s="2" t="s">
        <v>37</v>
      </c>
      <c r="D2096" s="3">
        <v>452</v>
      </c>
      <c r="E2096" s="4" t="s">
        <v>38</v>
      </c>
      <c r="F2096" s="5">
        <v>3.93</v>
      </c>
      <c r="G2096" s="4" t="s">
        <v>39</v>
      </c>
      <c r="H2096" s="6">
        <f t="shared" si="32"/>
        <v>1776.3600000000001</v>
      </c>
    </row>
    <row r="2097" spans="1:8" x14ac:dyDescent="0.2">
      <c r="A2097" s="2" t="s">
        <v>2175</v>
      </c>
      <c r="B2097" s="2" t="s">
        <v>2167</v>
      </c>
      <c r="C2097" s="2" t="s">
        <v>71</v>
      </c>
      <c r="D2097" s="3">
        <v>1726</v>
      </c>
      <c r="E2097" s="4" t="s">
        <v>72</v>
      </c>
      <c r="F2097" s="5">
        <v>2660.8</v>
      </c>
      <c r="G2097" s="4" t="s">
        <v>73</v>
      </c>
      <c r="H2097" s="6">
        <f t="shared" si="32"/>
        <v>4592540.8000000007</v>
      </c>
    </row>
    <row r="2098" spans="1:8" x14ac:dyDescent="0.2">
      <c r="A2098" s="2" t="s">
        <v>2176</v>
      </c>
      <c r="B2098" s="2" t="s">
        <v>2167</v>
      </c>
      <c r="C2098" s="2" t="s">
        <v>57</v>
      </c>
      <c r="D2098" s="3">
        <v>3722</v>
      </c>
      <c r="E2098" s="4" t="s">
        <v>20</v>
      </c>
      <c r="F2098" s="5">
        <v>0.62</v>
      </c>
      <c r="G2098" s="4" t="s">
        <v>21</v>
      </c>
      <c r="H2098" s="6">
        <f t="shared" si="32"/>
        <v>2307.64</v>
      </c>
    </row>
    <row r="2099" spans="1:8" x14ac:dyDescent="0.2">
      <c r="A2099" s="2" t="s">
        <v>2177</v>
      </c>
      <c r="B2099" s="2" t="s">
        <v>2167</v>
      </c>
      <c r="C2099" s="2" t="s">
        <v>37</v>
      </c>
      <c r="D2099" s="3">
        <v>4412</v>
      </c>
      <c r="E2099" s="4" t="s">
        <v>38</v>
      </c>
      <c r="F2099" s="5">
        <v>2.5299999999999998</v>
      </c>
      <c r="G2099" s="4" t="s">
        <v>39</v>
      </c>
      <c r="H2099" s="6">
        <f t="shared" si="32"/>
        <v>11162.359999999999</v>
      </c>
    </row>
    <row r="2100" spans="1:8" x14ac:dyDescent="0.2">
      <c r="A2100" s="2" t="s">
        <v>2178</v>
      </c>
      <c r="B2100" s="2" t="s">
        <v>2167</v>
      </c>
      <c r="C2100" s="2" t="s">
        <v>33</v>
      </c>
      <c r="D2100" s="3">
        <v>3983</v>
      </c>
      <c r="E2100" s="4" t="s">
        <v>34</v>
      </c>
      <c r="F2100" s="5">
        <v>4.79</v>
      </c>
      <c r="G2100" s="4" t="s">
        <v>35</v>
      </c>
      <c r="H2100" s="6">
        <f t="shared" si="32"/>
        <v>19078.57</v>
      </c>
    </row>
    <row r="2101" spans="1:8" x14ac:dyDescent="0.2">
      <c r="A2101" s="2" t="s">
        <v>2179</v>
      </c>
      <c r="B2101" s="2" t="s">
        <v>2167</v>
      </c>
      <c r="C2101" s="2" t="s">
        <v>27</v>
      </c>
      <c r="D2101" s="3">
        <v>1937</v>
      </c>
      <c r="E2101" s="4" t="s">
        <v>20</v>
      </c>
      <c r="F2101" s="5">
        <v>2.0699999999999998</v>
      </c>
      <c r="G2101" s="4" t="s">
        <v>21</v>
      </c>
      <c r="H2101" s="6">
        <f t="shared" si="32"/>
        <v>4009.5899999999997</v>
      </c>
    </row>
    <row r="2102" spans="1:8" x14ac:dyDescent="0.2">
      <c r="A2102" s="2" t="s">
        <v>2180</v>
      </c>
      <c r="B2102" s="2" t="s">
        <v>2167</v>
      </c>
      <c r="C2102" s="2" t="s">
        <v>46</v>
      </c>
      <c r="D2102" s="3">
        <v>4759</v>
      </c>
      <c r="E2102" s="4" t="s">
        <v>20</v>
      </c>
      <c r="F2102" s="5">
        <v>2.65</v>
      </c>
      <c r="G2102" s="4" t="s">
        <v>21</v>
      </c>
      <c r="H2102" s="6">
        <f t="shared" si="32"/>
        <v>12611.35</v>
      </c>
    </row>
    <row r="2103" spans="1:8" x14ac:dyDescent="0.2">
      <c r="A2103" s="2" t="s">
        <v>2181</v>
      </c>
      <c r="B2103" s="2" t="s">
        <v>2167</v>
      </c>
      <c r="C2103" s="2" t="s">
        <v>44</v>
      </c>
      <c r="D2103" s="3">
        <v>2678</v>
      </c>
      <c r="E2103" s="4" t="s">
        <v>24</v>
      </c>
      <c r="F2103" s="5">
        <v>1.06</v>
      </c>
      <c r="G2103" s="4" t="s">
        <v>25</v>
      </c>
      <c r="H2103" s="6">
        <f t="shared" si="32"/>
        <v>2838.6800000000003</v>
      </c>
    </row>
    <row r="2104" spans="1:8" x14ac:dyDescent="0.2">
      <c r="A2104" s="2" t="s">
        <v>2182</v>
      </c>
      <c r="B2104" s="2" t="s">
        <v>2167</v>
      </c>
      <c r="C2104" s="2" t="s">
        <v>50</v>
      </c>
      <c r="D2104" s="3">
        <v>2681</v>
      </c>
      <c r="E2104" s="4" t="s">
        <v>20</v>
      </c>
      <c r="F2104" s="5">
        <v>0.84</v>
      </c>
      <c r="G2104" s="4" t="s">
        <v>21</v>
      </c>
      <c r="H2104" s="6">
        <f t="shared" si="32"/>
        <v>2252.04</v>
      </c>
    </row>
    <row r="2105" spans="1:8" x14ac:dyDescent="0.2">
      <c r="A2105" s="2" t="s">
        <v>2183</v>
      </c>
      <c r="B2105" s="2" t="s">
        <v>2167</v>
      </c>
      <c r="C2105" s="2" t="s">
        <v>42</v>
      </c>
      <c r="D2105" s="3">
        <v>3389</v>
      </c>
      <c r="E2105" s="4" t="s">
        <v>24</v>
      </c>
      <c r="F2105" s="5">
        <v>6.11</v>
      </c>
      <c r="G2105" s="4" t="s">
        <v>25</v>
      </c>
      <c r="H2105" s="6">
        <f t="shared" si="32"/>
        <v>20706.79</v>
      </c>
    </row>
    <row r="2106" spans="1:8" x14ac:dyDescent="0.2">
      <c r="A2106" s="2" t="s">
        <v>2184</v>
      </c>
      <c r="B2106" s="2" t="s">
        <v>2167</v>
      </c>
      <c r="C2106" s="2" t="s">
        <v>67</v>
      </c>
      <c r="D2106" s="3">
        <v>1817</v>
      </c>
      <c r="E2106" s="4" t="s">
        <v>24</v>
      </c>
      <c r="F2106" s="5">
        <v>0.32</v>
      </c>
      <c r="G2106" s="4" t="s">
        <v>25</v>
      </c>
      <c r="H2106" s="6">
        <f t="shared" si="32"/>
        <v>581.44000000000005</v>
      </c>
    </row>
    <row r="2107" spans="1:8" x14ac:dyDescent="0.2">
      <c r="A2107" s="2" t="s">
        <v>2185</v>
      </c>
      <c r="B2107" s="2" t="s">
        <v>2167</v>
      </c>
      <c r="C2107" s="2" t="s">
        <v>46</v>
      </c>
      <c r="D2107" s="3">
        <v>3978</v>
      </c>
      <c r="E2107" s="4" t="s">
        <v>20</v>
      </c>
      <c r="F2107" s="5">
        <v>2.11</v>
      </c>
      <c r="G2107" s="4" t="s">
        <v>21</v>
      </c>
      <c r="H2107" s="6">
        <f t="shared" si="32"/>
        <v>8393.58</v>
      </c>
    </row>
    <row r="2108" spans="1:8" x14ac:dyDescent="0.2">
      <c r="A2108" s="2" t="s">
        <v>2186</v>
      </c>
      <c r="B2108" s="2" t="s">
        <v>2167</v>
      </c>
      <c r="C2108" s="2" t="s">
        <v>52</v>
      </c>
      <c r="D2108" s="3">
        <v>1197</v>
      </c>
      <c r="E2108" s="4" t="s">
        <v>53</v>
      </c>
      <c r="F2108" s="5">
        <v>10.08</v>
      </c>
      <c r="G2108" s="4" t="s">
        <v>54</v>
      </c>
      <c r="H2108" s="6">
        <f t="shared" si="32"/>
        <v>12065.76</v>
      </c>
    </row>
    <row r="2109" spans="1:8" x14ac:dyDescent="0.2">
      <c r="A2109" s="2" t="s">
        <v>2187</v>
      </c>
      <c r="B2109" s="2" t="s">
        <v>2167</v>
      </c>
      <c r="C2109" s="2" t="s">
        <v>147</v>
      </c>
      <c r="D2109" s="3">
        <v>3737</v>
      </c>
      <c r="E2109" s="4" t="s">
        <v>53</v>
      </c>
      <c r="F2109" s="5">
        <v>9.42</v>
      </c>
      <c r="G2109" s="4" t="s">
        <v>54</v>
      </c>
      <c r="H2109" s="6">
        <f t="shared" si="32"/>
        <v>35202.54</v>
      </c>
    </row>
    <row r="2110" spans="1:8" x14ac:dyDescent="0.2">
      <c r="A2110" s="2" t="s">
        <v>2188</v>
      </c>
      <c r="B2110" s="2" t="s">
        <v>2167</v>
      </c>
      <c r="C2110" s="2" t="s">
        <v>19</v>
      </c>
      <c r="D2110" s="3">
        <v>1127</v>
      </c>
      <c r="E2110" s="4" t="s">
        <v>20</v>
      </c>
      <c r="F2110" s="5">
        <v>1.37</v>
      </c>
      <c r="G2110" s="4" t="s">
        <v>21</v>
      </c>
      <c r="H2110" s="6">
        <f t="shared" si="32"/>
        <v>1543.99</v>
      </c>
    </row>
    <row r="2111" spans="1:8" x14ac:dyDescent="0.2">
      <c r="A2111" s="2" t="s">
        <v>2189</v>
      </c>
      <c r="B2111" s="2" t="s">
        <v>2167</v>
      </c>
      <c r="C2111" s="2" t="s">
        <v>44</v>
      </c>
      <c r="D2111" s="3">
        <v>2947</v>
      </c>
      <c r="E2111" s="4" t="s">
        <v>24</v>
      </c>
      <c r="F2111" s="5">
        <v>1.58</v>
      </c>
      <c r="G2111" s="4" t="s">
        <v>25</v>
      </c>
      <c r="H2111" s="6">
        <f t="shared" si="32"/>
        <v>4656.26</v>
      </c>
    </row>
    <row r="2112" spans="1:8" x14ac:dyDescent="0.2">
      <c r="A2112" s="2" t="s">
        <v>2190</v>
      </c>
      <c r="B2112" s="2" t="s">
        <v>2167</v>
      </c>
      <c r="C2112" s="2" t="s">
        <v>44</v>
      </c>
      <c r="D2112" s="3">
        <v>2761</v>
      </c>
      <c r="E2112" s="4" t="s">
        <v>24</v>
      </c>
      <c r="F2112" s="5">
        <v>0.99</v>
      </c>
      <c r="G2112" s="4" t="s">
        <v>25</v>
      </c>
      <c r="H2112" s="6">
        <f t="shared" si="32"/>
        <v>2733.39</v>
      </c>
    </row>
    <row r="2113" spans="1:8" x14ac:dyDescent="0.2">
      <c r="A2113" s="2" t="s">
        <v>2191</v>
      </c>
      <c r="B2113" s="2" t="s">
        <v>2167</v>
      </c>
      <c r="C2113" s="2" t="s">
        <v>46</v>
      </c>
      <c r="D2113" s="3">
        <v>498</v>
      </c>
      <c r="E2113" s="4" t="s">
        <v>20</v>
      </c>
      <c r="F2113" s="5">
        <v>2.56</v>
      </c>
      <c r="G2113" s="4" t="s">
        <v>21</v>
      </c>
      <c r="H2113" s="6">
        <f t="shared" si="32"/>
        <v>1274.8800000000001</v>
      </c>
    </row>
    <row r="2114" spans="1:8" x14ac:dyDescent="0.2">
      <c r="A2114" s="2" t="s">
        <v>2192</v>
      </c>
      <c r="B2114" s="2" t="s">
        <v>2167</v>
      </c>
      <c r="C2114" s="2" t="s">
        <v>50</v>
      </c>
      <c r="D2114" s="3">
        <v>3823</v>
      </c>
      <c r="E2114" s="4" t="s">
        <v>20</v>
      </c>
      <c r="F2114" s="5">
        <v>0.98</v>
      </c>
      <c r="G2114" s="4" t="s">
        <v>21</v>
      </c>
      <c r="H2114" s="6">
        <f t="shared" ref="H2114:H2177" si="33">D2114*F2114</f>
        <v>3746.54</v>
      </c>
    </row>
    <row r="2115" spans="1:8" x14ac:dyDescent="0.2">
      <c r="A2115" s="2" t="s">
        <v>2193</v>
      </c>
      <c r="B2115" s="2" t="s">
        <v>2167</v>
      </c>
      <c r="C2115" s="2" t="s">
        <v>118</v>
      </c>
      <c r="D2115" s="3">
        <v>2824</v>
      </c>
      <c r="E2115" s="4" t="s">
        <v>24</v>
      </c>
      <c r="F2115" s="5">
        <v>0.55000000000000004</v>
      </c>
      <c r="G2115" s="4" t="s">
        <v>25</v>
      </c>
      <c r="H2115" s="6">
        <f t="shared" si="33"/>
        <v>1553.2</v>
      </c>
    </row>
    <row r="2116" spans="1:8" x14ac:dyDescent="0.2">
      <c r="A2116" s="2" t="s">
        <v>2194</v>
      </c>
      <c r="B2116" s="2" t="s">
        <v>2167</v>
      </c>
      <c r="C2116" s="2" t="s">
        <v>71</v>
      </c>
      <c r="D2116" s="3">
        <v>4954</v>
      </c>
      <c r="E2116" s="4" t="s">
        <v>72</v>
      </c>
      <c r="F2116" s="5">
        <v>2494.0700000000002</v>
      </c>
      <c r="G2116" s="4" t="s">
        <v>73</v>
      </c>
      <c r="H2116" s="6">
        <f t="shared" si="33"/>
        <v>12355622.780000001</v>
      </c>
    </row>
    <row r="2117" spans="1:8" x14ac:dyDescent="0.2">
      <c r="A2117" s="2" t="s">
        <v>2195</v>
      </c>
      <c r="B2117" s="2" t="s">
        <v>2167</v>
      </c>
      <c r="C2117" s="2" t="s">
        <v>147</v>
      </c>
      <c r="D2117" s="3">
        <v>1402</v>
      </c>
      <c r="E2117" s="4" t="s">
        <v>53</v>
      </c>
      <c r="F2117" s="5">
        <v>12.62</v>
      </c>
      <c r="G2117" s="4" t="s">
        <v>54</v>
      </c>
      <c r="H2117" s="6">
        <f t="shared" si="33"/>
        <v>17693.239999999998</v>
      </c>
    </row>
    <row r="2118" spans="1:8" x14ac:dyDescent="0.2">
      <c r="A2118" s="2" t="s">
        <v>2196</v>
      </c>
      <c r="B2118" s="2" t="s">
        <v>2167</v>
      </c>
      <c r="C2118" s="2" t="s">
        <v>29</v>
      </c>
      <c r="D2118" s="3">
        <v>1891</v>
      </c>
      <c r="E2118" s="4" t="s">
        <v>30</v>
      </c>
      <c r="F2118" s="5">
        <v>1.1000000000000001</v>
      </c>
      <c r="G2118" s="4" t="s">
        <v>31</v>
      </c>
      <c r="H2118" s="6">
        <f t="shared" si="33"/>
        <v>2080.1000000000004</v>
      </c>
    </row>
    <row r="2119" spans="1:8" x14ac:dyDescent="0.2">
      <c r="A2119" s="2" t="s">
        <v>2197</v>
      </c>
      <c r="B2119" s="2" t="s">
        <v>2167</v>
      </c>
      <c r="C2119" s="2" t="s">
        <v>78</v>
      </c>
      <c r="D2119" s="3">
        <v>4017</v>
      </c>
      <c r="E2119" s="4" t="s">
        <v>38</v>
      </c>
      <c r="F2119" s="5">
        <v>2.97</v>
      </c>
      <c r="G2119" s="4" t="s">
        <v>39</v>
      </c>
      <c r="H2119" s="6">
        <f t="shared" si="33"/>
        <v>11930.490000000002</v>
      </c>
    </row>
    <row r="2120" spans="1:8" x14ac:dyDescent="0.2">
      <c r="A2120" s="2" t="s">
        <v>2198</v>
      </c>
      <c r="B2120" s="2" t="s">
        <v>2167</v>
      </c>
      <c r="C2120" s="2" t="s">
        <v>44</v>
      </c>
      <c r="D2120" s="3">
        <v>4856</v>
      </c>
      <c r="E2120" s="4" t="s">
        <v>24</v>
      </c>
      <c r="F2120" s="5">
        <v>1.23</v>
      </c>
      <c r="G2120" s="4" t="s">
        <v>25</v>
      </c>
      <c r="H2120" s="6">
        <f t="shared" si="33"/>
        <v>5972.88</v>
      </c>
    </row>
    <row r="2121" spans="1:8" x14ac:dyDescent="0.2">
      <c r="A2121" s="2" t="s">
        <v>2199</v>
      </c>
      <c r="B2121" s="2" t="s">
        <v>2167</v>
      </c>
      <c r="C2121" s="2" t="s">
        <v>23</v>
      </c>
      <c r="D2121" s="3">
        <v>2296</v>
      </c>
      <c r="E2121" s="4" t="s">
        <v>24</v>
      </c>
      <c r="F2121" s="5">
        <v>12.09</v>
      </c>
      <c r="G2121" s="4" t="s">
        <v>25</v>
      </c>
      <c r="H2121" s="6">
        <f t="shared" si="33"/>
        <v>27758.639999999999</v>
      </c>
    </row>
    <row r="2122" spans="1:8" x14ac:dyDescent="0.2">
      <c r="A2122" s="2" t="s">
        <v>2200</v>
      </c>
      <c r="B2122" s="2" t="s">
        <v>2167</v>
      </c>
      <c r="C2122" s="2" t="s">
        <v>52</v>
      </c>
      <c r="D2122" s="3">
        <v>2030</v>
      </c>
      <c r="E2122" s="4" t="s">
        <v>53</v>
      </c>
      <c r="F2122" s="5">
        <v>10.24</v>
      </c>
      <c r="G2122" s="4" t="s">
        <v>54</v>
      </c>
      <c r="H2122" s="6">
        <f t="shared" si="33"/>
        <v>20787.2</v>
      </c>
    </row>
    <row r="2123" spans="1:8" x14ac:dyDescent="0.2">
      <c r="A2123" s="2" t="s">
        <v>2201</v>
      </c>
      <c r="B2123" s="2" t="s">
        <v>2167</v>
      </c>
      <c r="C2123" s="2" t="s">
        <v>52</v>
      </c>
      <c r="D2123" s="3">
        <v>4756</v>
      </c>
      <c r="E2123" s="4" t="s">
        <v>53</v>
      </c>
      <c r="F2123" s="5">
        <v>10.11</v>
      </c>
      <c r="G2123" s="4" t="s">
        <v>54</v>
      </c>
      <c r="H2123" s="6">
        <f t="shared" si="33"/>
        <v>48083.159999999996</v>
      </c>
    </row>
    <row r="2124" spans="1:8" x14ac:dyDescent="0.2">
      <c r="A2124" s="2" t="s">
        <v>2202</v>
      </c>
      <c r="B2124" s="2" t="s">
        <v>2167</v>
      </c>
      <c r="C2124" s="2" t="s">
        <v>46</v>
      </c>
      <c r="D2124" s="3">
        <v>1230</v>
      </c>
      <c r="E2124" s="4" t="s">
        <v>20</v>
      </c>
      <c r="F2124" s="5">
        <v>3.83</v>
      </c>
      <c r="G2124" s="4" t="s">
        <v>21</v>
      </c>
      <c r="H2124" s="6">
        <f t="shared" si="33"/>
        <v>4710.8999999999996</v>
      </c>
    </row>
    <row r="2125" spans="1:8" x14ac:dyDescent="0.2">
      <c r="A2125" s="2" t="s">
        <v>2203</v>
      </c>
      <c r="B2125" s="2" t="s">
        <v>2167</v>
      </c>
      <c r="C2125" s="2" t="s">
        <v>33</v>
      </c>
      <c r="D2125" s="3">
        <v>3432</v>
      </c>
      <c r="E2125" s="4" t="s">
        <v>34</v>
      </c>
      <c r="F2125" s="5">
        <v>5.95</v>
      </c>
      <c r="G2125" s="4" t="s">
        <v>35</v>
      </c>
      <c r="H2125" s="6">
        <f t="shared" si="33"/>
        <v>20420.400000000001</v>
      </c>
    </row>
    <row r="2126" spans="1:8" x14ac:dyDescent="0.2">
      <c r="A2126" s="2" t="s">
        <v>2204</v>
      </c>
      <c r="B2126" s="2" t="s">
        <v>2167</v>
      </c>
      <c r="C2126" s="2" t="s">
        <v>37</v>
      </c>
      <c r="D2126" s="3">
        <v>3865</v>
      </c>
      <c r="E2126" s="4" t="s">
        <v>38</v>
      </c>
      <c r="F2126" s="5">
        <v>4.2</v>
      </c>
      <c r="G2126" s="4" t="s">
        <v>39</v>
      </c>
      <c r="H2126" s="6">
        <f t="shared" si="33"/>
        <v>16233</v>
      </c>
    </row>
    <row r="2127" spans="1:8" x14ac:dyDescent="0.2">
      <c r="A2127" s="2" t="s">
        <v>2205</v>
      </c>
      <c r="B2127" s="2" t="s">
        <v>2167</v>
      </c>
      <c r="C2127" s="2" t="s">
        <v>78</v>
      </c>
      <c r="D2127" s="3">
        <v>285</v>
      </c>
      <c r="E2127" s="4" t="s">
        <v>38</v>
      </c>
      <c r="F2127" s="5">
        <v>2.2200000000000002</v>
      </c>
      <c r="G2127" s="4" t="s">
        <v>39</v>
      </c>
      <c r="H2127" s="6">
        <f t="shared" si="33"/>
        <v>632.70000000000005</v>
      </c>
    </row>
    <row r="2128" spans="1:8" x14ac:dyDescent="0.2">
      <c r="A2128" s="2" t="s">
        <v>2206</v>
      </c>
      <c r="B2128" s="2" t="s">
        <v>2167</v>
      </c>
      <c r="C2128" s="2" t="s">
        <v>67</v>
      </c>
      <c r="D2128" s="3">
        <v>3936</v>
      </c>
      <c r="E2128" s="4" t="s">
        <v>24</v>
      </c>
      <c r="F2128" s="5">
        <v>0.54</v>
      </c>
      <c r="G2128" s="4" t="s">
        <v>25</v>
      </c>
      <c r="H2128" s="6">
        <f t="shared" si="33"/>
        <v>2125.44</v>
      </c>
    </row>
    <row r="2129" spans="1:8" x14ac:dyDescent="0.2">
      <c r="A2129" s="2" t="s">
        <v>2207</v>
      </c>
      <c r="B2129" s="2" t="s">
        <v>2167</v>
      </c>
      <c r="C2129" s="2" t="s">
        <v>50</v>
      </c>
      <c r="D2129" s="3">
        <v>3716</v>
      </c>
      <c r="E2129" s="4" t="s">
        <v>20</v>
      </c>
      <c r="F2129" s="5">
        <v>1</v>
      </c>
      <c r="G2129" s="4" t="s">
        <v>21</v>
      </c>
      <c r="H2129" s="6">
        <f t="shared" si="33"/>
        <v>3716</v>
      </c>
    </row>
    <row r="2130" spans="1:8" x14ac:dyDescent="0.2">
      <c r="A2130" s="2" t="s">
        <v>2208</v>
      </c>
      <c r="B2130" s="2" t="s">
        <v>2167</v>
      </c>
      <c r="C2130" s="2" t="s">
        <v>27</v>
      </c>
      <c r="D2130" s="3">
        <v>4585</v>
      </c>
      <c r="E2130" s="4" t="s">
        <v>20</v>
      </c>
      <c r="F2130" s="5">
        <v>2.1</v>
      </c>
      <c r="G2130" s="4" t="s">
        <v>21</v>
      </c>
      <c r="H2130" s="6">
        <f t="shared" si="33"/>
        <v>9628.5</v>
      </c>
    </row>
    <row r="2131" spans="1:8" x14ac:dyDescent="0.2">
      <c r="A2131" s="2" t="s">
        <v>2209</v>
      </c>
      <c r="B2131" s="2" t="s">
        <v>2167</v>
      </c>
      <c r="C2131" s="2" t="s">
        <v>52</v>
      </c>
      <c r="D2131" s="3">
        <v>1795</v>
      </c>
      <c r="E2131" s="4" t="s">
        <v>53</v>
      </c>
      <c r="F2131" s="5">
        <v>9.66</v>
      </c>
      <c r="G2131" s="4" t="s">
        <v>54</v>
      </c>
      <c r="H2131" s="6">
        <f t="shared" si="33"/>
        <v>17339.7</v>
      </c>
    </row>
    <row r="2132" spans="1:8" x14ac:dyDescent="0.2">
      <c r="A2132" s="2" t="s">
        <v>2210</v>
      </c>
      <c r="B2132" s="2" t="s">
        <v>2167</v>
      </c>
      <c r="C2132" s="2" t="s">
        <v>71</v>
      </c>
      <c r="D2132" s="3">
        <v>1968</v>
      </c>
      <c r="E2132" s="4" t="s">
        <v>72</v>
      </c>
      <c r="F2132" s="5">
        <v>2788.58</v>
      </c>
      <c r="G2132" s="4" t="s">
        <v>73</v>
      </c>
      <c r="H2132" s="6">
        <f t="shared" si="33"/>
        <v>5487925.4399999995</v>
      </c>
    </row>
    <row r="2133" spans="1:8" x14ac:dyDescent="0.2">
      <c r="A2133" s="2" t="s">
        <v>2211</v>
      </c>
      <c r="B2133" s="2" t="s">
        <v>2167</v>
      </c>
      <c r="C2133" s="2" t="s">
        <v>27</v>
      </c>
      <c r="D2133" s="3">
        <v>140</v>
      </c>
      <c r="E2133" s="4" t="s">
        <v>20</v>
      </c>
      <c r="F2133" s="5">
        <v>1.78</v>
      </c>
      <c r="G2133" s="4" t="s">
        <v>21</v>
      </c>
      <c r="H2133" s="6">
        <f t="shared" si="33"/>
        <v>249.20000000000002</v>
      </c>
    </row>
    <row r="2134" spans="1:8" x14ac:dyDescent="0.2">
      <c r="A2134" s="2" t="s">
        <v>2212</v>
      </c>
      <c r="B2134" s="2" t="s">
        <v>2167</v>
      </c>
      <c r="C2134" s="2" t="s">
        <v>71</v>
      </c>
      <c r="D2134" s="3">
        <v>1335</v>
      </c>
      <c r="E2134" s="4" t="s">
        <v>72</v>
      </c>
      <c r="F2134" s="5">
        <v>2821.98</v>
      </c>
      <c r="G2134" s="4" t="s">
        <v>73</v>
      </c>
      <c r="H2134" s="6">
        <f t="shared" si="33"/>
        <v>3767343.3</v>
      </c>
    </row>
    <row r="2135" spans="1:8" x14ac:dyDescent="0.2">
      <c r="A2135" s="2" t="s">
        <v>2213</v>
      </c>
      <c r="B2135" s="2" t="s">
        <v>2167</v>
      </c>
      <c r="C2135" s="2" t="s">
        <v>46</v>
      </c>
      <c r="D2135" s="3">
        <v>4791</v>
      </c>
      <c r="E2135" s="4" t="s">
        <v>20</v>
      </c>
      <c r="F2135" s="5">
        <v>2.0499999999999998</v>
      </c>
      <c r="G2135" s="4" t="s">
        <v>21</v>
      </c>
      <c r="H2135" s="6">
        <f t="shared" si="33"/>
        <v>9821.5499999999993</v>
      </c>
    </row>
    <row r="2136" spans="1:8" x14ac:dyDescent="0.2">
      <c r="A2136" s="2" t="s">
        <v>2214</v>
      </c>
      <c r="B2136" s="2" t="s">
        <v>2167</v>
      </c>
      <c r="C2136" s="2" t="s">
        <v>23</v>
      </c>
      <c r="D2136" s="3">
        <v>3809</v>
      </c>
      <c r="E2136" s="4" t="s">
        <v>24</v>
      </c>
      <c r="F2136" s="5">
        <v>16.63</v>
      </c>
      <c r="G2136" s="4" t="s">
        <v>25</v>
      </c>
      <c r="H2136" s="6">
        <f t="shared" si="33"/>
        <v>63343.67</v>
      </c>
    </row>
    <row r="2137" spans="1:8" x14ac:dyDescent="0.2">
      <c r="A2137" s="2" t="s">
        <v>2215</v>
      </c>
      <c r="B2137" s="2" t="s">
        <v>2167</v>
      </c>
      <c r="C2137" s="2" t="s">
        <v>67</v>
      </c>
      <c r="D2137" s="3">
        <v>1525</v>
      </c>
      <c r="E2137" s="4" t="s">
        <v>24</v>
      </c>
      <c r="F2137" s="5">
        <v>0.54</v>
      </c>
      <c r="G2137" s="4" t="s">
        <v>25</v>
      </c>
      <c r="H2137" s="6">
        <f t="shared" si="33"/>
        <v>823.5</v>
      </c>
    </row>
    <row r="2138" spans="1:8" x14ac:dyDescent="0.2">
      <c r="A2138" s="2" t="s">
        <v>2216</v>
      </c>
      <c r="B2138" s="2" t="s">
        <v>2167</v>
      </c>
      <c r="C2138" s="2" t="s">
        <v>19</v>
      </c>
      <c r="D2138" s="3">
        <v>3813</v>
      </c>
      <c r="E2138" s="4" t="s">
        <v>20</v>
      </c>
      <c r="F2138" s="5">
        <v>1.52</v>
      </c>
      <c r="G2138" s="4" t="s">
        <v>21</v>
      </c>
      <c r="H2138" s="6">
        <f t="shared" si="33"/>
        <v>5795.76</v>
      </c>
    </row>
    <row r="2139" spans="1:8" x14ac:dyDescent="0.2">
      <c r="A2139" s="2" t="s">
        <v>2217</v>
      </c>
      <c r="B2139" s="2" t="s">
        <v>2167</v>
      </c>
      <c r="C2139" s="2" t="s">
        <v>33</v>
      </c>
      <c r="D2139" s="3">
        <v>589</v>
      </c>
      <c r="E2139" s="4" t="s">
        <v>34</v>
      </c>
      <c r="F2139" s="5">
        <v>4.46</v>
      </c>
      <c r="G2139" s="4" t="s">
        <v>35</v>
      </c>
      <c r="H2139" s="6">
        <f t="shared" si="33"/>
        <v>2626.94</v>
      </c>
    </row>
    <row r="2140" spans="1:8" x14ac:dyDescent="0.2">
      <c r="A2140" s="2" t="s">
        <v>2218</v>
      </c>
      <c r="B2140" s="2" t="s">
        <v>2167</v>
      </c>
      <c r="C2140" s="2" t="s">
        <v>57</v>
      </c>
      <c r="D2140" s="3">
        <v>4359</v>
      </c>
      <c r="E2140" s="4" t="s">
        <v>20</v>
      </c>
      <c r="F2140" s="5">
        <v>0.61</v>
      </c>
      <c r="G2140" s="4" t="s">
        <v>21</v>
      </c>
      <c r="H2140" s="6">
        <f t="shared" si="33"/>
        <v>2658.99</v>
      </c>
    </row>
    <row r="2141" spans="1:8" x14ac:dyDescent="0.2">
      <c r="A2141" s="2" t="s">
        <v>2219</v>
      </c>
      <c r="B2141" s="2" t="s">
        <v>2167</v>
      </c>
      <c r="C2141" s="2" t="s">
        <v>52</v>
      </c>
      <c r="D2141" s="3">
        <v>2220</v>
      </c>
      <c r="E2141" s="4" t="s">
        <v>53</v>
      </c>
      <c r="F2141" s="5">
        <v>12.49</v>
      </c>
      <c r="G2141" s="4" t="s">
        <v>54</v>
      </c>
      <c r="H2141" s="6">
        <f t="shared" si="33"/>
        <v>27727.8</v>
      </c>
    </row>
    <row r="2142" spans="1:8" x14ac:dyDescent="0.2">
      <c r="A2142" s="2" t="s">
        <v>2220</v>
      </c>
      <c r="B2142" s="2" t="s">
        <v>2167</v>
      </c>
      <c r="C2142" s="2" t="s">
        <v>147</v>
      </c>
      <c r="D2142" s="3">
        <v>4453</v>
      </c>
      <c r="E2142" s="4" t="s">
        <v>53</v>
      </c>
      <c r="F2142" s="5">
        <v>12.6</v>
      </c>
      <c r="G2142" s="4" t="s">
        <v>54</v>
      </c>
      <c r="H2142" s="6">
        <f t="shared" si="33"/>
        <v>56107.799999999996</v>
      </c>
    </row>
    <row r="2143" spans="1:8" x14ac:dyDescent="0.2">
      <c r="A2143" s="2" t="s">
        <v>2221</v>
      </c>
      <c r="B2143" s="2" t="s">
        <v>2167</v>
      </c>
      <c r="C2143" s="2" t="s">
        <v>44</v>
      </c>
      <c r="D2143" s="3">
        <v>673</v>
      </c>
      <c r="E2143" s="4" t="s">
        <v>24</v>
      </c>
      <c r="F2143" s="5">
        <v>1.33</v>
      </c>
      <c r="G2143" s="4" t="s">
        <v>25</v>
      </c>
      <c r="H2143" s="6">
        <f t="shared" si="33"/>
        <v>895.09</v>
      </c>
    </row>
    <row r="2144" spans="1:8" x14ac:dyDescent="0.2">
      <c r="A2144" s="2" t="s">
        <v>2222</v>
      </c>
      <c r="B2144" s="2" t="s">
        <v>2167</v>
      </c>
      <c r="C2144" s="2" t="s">
        <v>57</v>
      </c>
      <c r="D2144" s="3">
        <v>459</v>
      </c>
      <c r="E2144" s="4" t="s">
        <v>20</v>
      </c>
      <c r="F2144" s="5">
        <v>0.81</v>
      </c>
      <c r="G2144" s="4" t="s">
        <v>21</v>
      </c>
      <c r="H2144" s="6">
        <f t="shared" si="33"/>
        <v>371.79</v>
      </c>
    </row>
    <row r="2145" spans="1:8" x14ac:dyDescent="0.2">
      <c r="A2145" s="2" t="s">
        <v>2223</v>
      </c>
      <c r="B2145" s="2" t="s">
        <v>2167</v>
      </c>
      <c r="C2145" s="2" t="s">
        <v>19</v>
      </c>
      <c r="D2145" s="3">
        <v>432</v>
      </c>
      <c r="E2145" s="4" t="s">
        <v>20</v>
      </c>
      <c r="F2145" s="5">
        <v>1.17</v>
      </c>
      <c r="G2145" s="4" t="s">
        <v>21</v>
      </c>
      <c r="H2145" s="6">
        <f t="shared" si="33"/>
        <v>505.43999999999994</v>
      </c>
    </row>
    <row r="2146" spans="1:8" x14ac:dyDescent="0.2">
      <c r="A2146" s="2" t="s">
        <v>2224</v>
      </c>
      <c r="B2146" s="2" t="s">
        <v>2167</v>
      </c>
      <c r="C2146" s="2" t="s">
        <v>19</v>
      </c>
      <c r="D2146" s="3">
        <v>3822</v>
      </c>
      <c r="E2146" s="4" t="s">
        <v>20</v>
      </c>
      <c r="F2146" s="5">
        <v>1.47</v>
      </c>
      <c r="G2146" s="4" t="s">
        <v>21</v>
      </c>
      <c r="H2146" s="6">
        <f t="shared" si="33"/>
        <v>5618.34</v>
      </c>
    </row>
    <row r="2147" spans="1:8" x14ac:dyDescent="0.2">
      <c r="A2147" s="2" t="s">
        <v>2225</v>
      </c>
      <c r="B2147" s="2" t="s">
        <v>2167</v>
      </c>
      <c r="C2147" s="2" t="s">
        <v>19</v>
      </c>
      <c r="D2147" s="3">
        <v>3011</v>
      </c>
      <c r="E2147" s="4" t="s">
        <v>20</v>
      </c>
      <c r="F2147" s="5">
        <v>1.21</v>
      </c>
      <c r="G2147" s="4" t="s">
        <v>21</v>
      </c>
      <c r="H2147" s="6">
        <f t="shared" si="33"/>
        <v>3643.31</v>
      </c>
    </row>
    <row r="2148" spans="1:8" x14ac:dyDescent="0.2">
      <c r="A2148" s="2" t="s">
        <v>2226</v>
      </c>
      <c r="B2148" s="2" t="s">
        <v>2167</v>
      </c>
      <c r="C2148" s="2" t="s">
        <v>29</v>
      </c>
      <c r="D2148" s="3">
        <v>558</v>
      </c>
      <c r="E2148" s="4" t="s">
        <v>30</v>
      </c>
      <c r="F2148" s="5">
        <v>1.67</v>
      </c>
      <c r="G2148" s="4" t="s">
        <v>31</v>
      </c>
      <c r="H2148" s="6">
        <f t="shared" si="33"/>
        <v>931.86</v>
      </c>
    </row>
    <row r="2149" spans="1:8" x14ac:dyDescent="0.2">
      <c r="A2149" s="2" t="s">
        <v>2227</v>
      </c>
      <c r="B2149" s="2" t="s">
        <v>2167</v>
      </c>
      <c r="C2149" s="2" t="s">
        <v>44</v>
      </c>
      <c r="D2149" s="3">
        <v>1143</v>
      </c>
      <c r="E2149" s="4" t="s">
        <v>24</v>
      </c>
      <c r="F2149" s="5">
        <v>1.59</v>
      </c>
      <c r="G2149" s="4" t="s">
        <v>25</v>
      </c>
      <c r="H2149" s="6">
        <f t="shared" si="33"/>
        <v>1817.3700000000001</v>
      </c>
    </row>
    <row r="2150" spans="1:8" x14ac:dyDescent="0.2">
      <c r="A2150" s="2" t="s">
        <v>2228</v>
      </c>
      <c r="B2150" s="2" t="s">
        <v>2167</v>
      </c>
      <c r="C2150" s="2" t="s">
        <v>42</v>
      </c>
      <c r="D2150" s="3">
        <v>4430</v>
      </c>
      <c r="E2150" s="4" t="s">
        <v>24</v>
      </c>
      <c r="F2150" s="5">
        <v>3.84</v>
      </c>
      <c r="G2150" s="4" t="s">
        <v>25</v>
      </c>
      <c r="H2150" s="6">
        <f t="shared" si="33"/>
        <v>17011.2</v>
      </c>
    </row>
    <row r="2151" spans="1:8" x14ac:dyDescent="0.2">
      <c r="A2151" s="2" t="s">
        <v>2229</v>
      </c>
      <c r="B2151" s="2" t="s">
        <v>2167</v>
      </c>
      <c r="C2151" s="2" t="s">
        <v>48</v>
      </c>
      <c r="D2151" s="3">
        <v>4762</v>
      </c>
      <c r="E2151" s="4" t="s">
        <v>24</v>
      </c>
      <c r="F2151" s="5">
        <v>0.18</v>
      </c>
      <c r="G2151" s="4" t="s">
        <v>25</v>
      </c>
      <c r="H2151" s="6">
        <f t="shared" si="33"/>
        <v>857.16</v>
      </c>
    </row>
    <row r="2152" spans="1:8" x14ac:dyDescent="0.2">
      <c r="A2152" s="2" t="s">
        <v>2230</v>
      </c>
      <c r="B2152" s="2" t="s">
        <v>2167</v>
      </c>
      <c r="C2152" s="2" t="s">
        <v>44</v>
      </c>
      <c r="D2152" s="3">
        <v>1856</v>
      </c>
      <c r="E2152" s="4" t="s">
        <v>24</v>
      </c>
      <c r="F2152" s="5">
        <v>1.1200000000000001</v>
      </c>
      <c r="G2152" s="4" t="s">
        <v>25</v>
      </c>
      <c r="H2152" s="6">
        <f t="shared" si="33"/>
        <v>2078.7200000000003</v>
      </c>
    </row>
    <row r="2153" spans="1:8" x14ac:dyDescent="0.2">
      <c r="A2153" s="2" t="s">
        <v>2231</v>
      </c>
      <c r="B2153" s="2" t="s">
        <v>2167</v>
      </c>
      <c r="C2153" s="2" t="s">
        <v>86</v>
      </c>
      <c r="D2153" s="3">
        <v>4135</v>
      </c>
      <c r="E2153" s="4" t="s">
        <v>72</v>
      </c>
      <c r="F2153" s="5">
        <v>8752.32</v>
      </c>
      <c r="G2153" s="4" t="s">
        <v>73</v>
      </c>
      <c r="H2153" s="6">
        <f t="shared" si="33"/>
        <v>36190843.199999996</v>
      </c>
    </row>
    <row r="2154" spans="1:8" x14ac:dyDescent="0.2">
      <c r="A2154" s="2" t="s">
        <v>2232</v>
      </c>
      <c r="B2154" s="2" t="s">
        <v>2167</v>
      </c>
      <c r="C2154" s="2" t="s">
        <v>86</v>
      </c>
      <c r="D2154" s="3">
        <v>456</v>
      </c>
      <c r="E2154" s="4" t="s">
        <v>72</v>
      </c>
      <c r="F2154" s="5">
        <v>7888.72</v>
      </c>
      <c r="G2154" s="4" t="s">
        <v>73</v>
      </c>
      <c r="H2154" s="6">
        <f t="shared" si="33"/>
        <v>3597256.3200000003</v>
      </c>
    </row>
    <row r="2155" spans="1:8" x14ac:dyDescent="0.2">
      <c r="A2155" s="2" t="s">
        <v>2233</v>
      </c>
      <c r="B2155" s="2" t="s">
        <v>2167</v>
      </c>
      <c r="C2155" s="2" t="s">
        <v>19</v>
      </c>
      <c r="D2155" s="3">
        <v>3716</v>
      </c>
      <c r="E2155" s="4" t="s">
        <v>20</v>
      </c>
      <c r="F2155" s="5">
        <v>1.39</v>
      </c>
      <c r="G2155" s="4" t="s">
        <v>21</v>
      </c>
      <c r="H2155" s="6">
        <f t="shared" si="33"/>
        <v>5165.24</v>
      </c>
    </row>
    <row r="2156" spans="1:8" x14ac:dyDescent="0.2">
      <c r="A2156" s="2" t="s">
        <v>2234</v>
      </c>
      <c r="B2156" s="2" t="s">
        <v>2167</v>
      </c>
      <c r="C2156" s="2" t="s">
        <v>78</v>
      </c>
      <c r="D2156" s="3">
        <v>1015</v>
      </c>
      <c r="E2156" s="4" t="s">
        <v>38</v>
      </c>
      <c r="F2156" s="5">
        <v>2.2999999999999998</v>
      </c>
      <c r="G2156" s="4" t="s">
        <v>39</v>
      </c>
      <c r="H2156" s="6">
        <f t="shared" si="33"/>
        <v>2334.5</v>
      </c>
    </row>
    <row r="2157" spans="1:8" x14ac:dyDescent="0.2">
      <c r="A2157" s="2" t="s">
        <v>2235</v>
      </c>
      <c r="B2157" s="2" t="s">
        <v>2167</v>
      </c>
      <c r="C2157" s="2" t="s">
        <v>29</v>
      </c>
      <c r="D2157" s="3">
        <v>4375</v>
      </c>
      <c r="E2157" s="4" t="s">
        <v>30</v>
      </c>
      <c r="F2157" s="5">
        <v>2.08</v>
      </c>
      <c r="G2157" s="4" t="s">
        <v>31</v>
      </c>
      <c r="H2157" s="6">
        <f t="shared" si="33"/>
        <v>9100</v>
      </c>
    </row>
    <row r="2158" spans="1:8" x14ac:dyDescent="0.2">
      <c r="A2158" s="2" t="s">
        <v>2236</v>
      </c>
      <c r="B2158" s="2" t="s">
        <v>2167</v>
      </c>
      <c r="C2158" s="2" t="s">
        <v>23</v>
      </c>
      <c r="D2158" s="3">
        <v>3025</v>
      </c>
      <c r="E2158" s="4" t="s">
        <v>24</v>
      </c>
      <c r="F2158" s="5">
        <v>16.8</v>
      </c>
      <c r="G2158" s="4" t="s">
        <v>25</v>
      </c>
      <c r="H2158" s="6">
        <f t="shared" si="33"/>
        <v>50820</v>
      </c>
    </row>
    <row r="2159" spans="1:8" x14ac:dyDescent="0.2">
      <c r="A2159" s="2" t="s">
        <v>2237</v>
      </c>
      <c r="B2159" s="2" t="s">
        <v>2167</v>
      </c>
      <c r="C2159" s="2" t="s">
        <v>27</v>
      </c>
      <c r="D2159" s="3">
        <v>1552</v>
      </c>
      <c r="E2159" s="4" t="s">
        <v>20</v>
      </c>
      <c r="F2159" s="5">
        <v>2.27</v>
      </c>
      <c r="G2159" s="4" t="s">
        <v>21</v>
      </c>
      <c r="H2159" s="6">
        <f t="shared" si="33"/>
        <v>3523.04</v>
      </c>
    </row>
    <row r="2160" spans="1:8" x14ac:dyDescent="0.2">
      <c r="A2160" s="2" t="s">
        <v>2238</v>
      </c>
      <c r="B2160" s="2" t="s">
        <v>2167</v>
      </c>
      <c r="C2160" s="2" t="s">
        <v>23</v>
      </c>
      <c r="D2160" s="3">
        <v>725</v>
      </c>
      <c r="E2160" s="4" t="s">
        <v>24</v>
      </c>
      <c r="F2160" s="5">
        <v>12.48</v>
      </c>
      <c r="G2160" s="4" t="s">
        <v>25</v>
      </c>
      <c r="H2160" s="6">
        <f t="shared" si="33"/>
        <v>9048</v>
      </c>
    </row>
    <row r="2161" spans="1:8" x14ac:dyDescent="0.2">
      <c r="A2161" s="2" t="s">
        <v>2239</v>
      </c>
      <c r="B2161" s="2" t="s">
        <v>2167</v>
      </c>
      <c r="C2161" s="2" t="s">
        <v>118</v>
      </c>
      <c r="D2161" s="3">
        <v>2372</v>
      </c>
      <c r="E2161" s="4" t="s">
        <v>24</v>
      </c>
      <c r="F2161" s="5">
        <v>1.07</v>
      </c>
      <c r="G2161" s="4" t="s">
        <v>25</v>
      </c>
      <c r="H2161" s="6">
        <f t="shared" si="33"/>
        <v>2538.04</v>
      </c>
    </row>
    <row r="2162" spans="1:8" x14ac:dyDescent="0.2">
      <c r="A2162" s="2" t="s">
        <v>2240</v>
      </c>
      <c r="B2162" s="2" t="s">
        <v>2167</v>
      </c>
      <c r="C2162" s="2" t="s">
        <v>27</v>
      </c>
      <c r="D2162" s="3">
        <v>905</v>
      </c>
      <c r="E2162" s="4" t="s">
        <v>20</v>
      </c>
      <c r="F2162" s="5">
        <v>1.4</v>
      </c>
      <c r="G2162" s="4" t="s">
        <v>21</v>
      </c>
      <c r="H2162" s="6">
        <f t="shared" si="33"/>
        <v>1267</v>
      </c>
    </row>
    <row r="2163" spans="1:8" x14ac:dyDescent="0.2">
      <c r="A2163" s="2" t="s">
        <v>2241</v>
      </c>
      <c r="B2163" s="2" t="s">
        <v>2167</v>
      </c>
      <c r="C2163" s="2" t="s">
        <v>50</v>
      </c>
      <c r="D2163" s="3">
        <v>1222</v>
      </c>
      <c r="E2163" s="4" t="s">
        <v>20</v>
      </c>
      <c r="F2163" s="5">
        <v>1</v>
      </c>
      <c r="G2163" s="4" t="s">
        <v>21</v>
      </c>
      <c r="H2163" s="6">
        <f t="shared" si="33"/>
        <v>1222</v>
      </c>
    </row>
    <row r="2164" spans="1:8" x14ac:dyDescent="0.2">
      <c r="A2164" s="2" t="s">
        <v>2242</v>
      </c>
      <c r="B2164" s="2" t="s">
        <v>2167</v>
      </c>
      <c r="C2164" s="2" t="s">
        <v>44</v>
      </c>
      <c r="D2164" s="3">
        <v>4275</v>
      </c>
      <c r="E2164" s="4" t="s">
        <v>24</v>
      </c>
      <c r="F2164" s="5">
        <v>1.57</v>
      </c>
      <c r="G2164" s="4" t="s">
        <v>25</v>
      </c>
      <c r="H2164" s="6">
        <f t="shared" si="33"/>
        <v>6711.75</v>
      </c>
    </row>
    <row r="2165" spans="1:8" x14ac:dyDescent="0.2">
      <c r="A2165" s="2" t="s">
        <v>2243</v>
      </c>
      <c r="B2165" s="2" t="s">
        <v>2167</v>
      </c>
      <c r="C2165" s="2" t="s">
        <v>33</v>
      </c>
      <c r="D2165" s="3">
        <v>2411</v>
      </c>
      <c r="E2165" s="4" t="s">
        <v>34</v>
      </c>
      <c r="F2165" s="5">
        <v>4.54</v>
      </c>
      <c r="G2165" s="4" t="s">
        <v>35</v>
      </c>
      <c r="H2165" s="6">
        <f t="shared" si="33"/>
        <v>10945.94</v>
      </c>
    </row>
    <row r="2166" spans="1:8" x14ac:dyDescent="0.2">
      <c r="A2166" s="2" t="s">
        <v>2244</v>
      </c>
      <c r="B2166" s="2" t="s">
        <v>2167</v>
      </c>
      <c r="C2166" s="2" t="s">
        <v>29</v>
      </c>
      <c r="D2166" s="3">
        <v>1091</v>
      </c>
      <c r="E2166" s="4" t="s">
        <v>30</v>
      </c>
      <c r="F2166" s="5">
        <v>1.57</v>
      </c>
      <c r="G2166" s="4" t="s">
        <v>31</v>
      </c>
      <c r="H2166" s="6">
        <f t="shared" si="33"/>
        <v>1712.8700000000001</v>
      </c>
    </row>
    <row r="2167" spans="1:8" x14ac:dyDescent="0.2">
      <c r="A2167" s="2" t="s">
        <v>2245</v>
      </c>
      <c r="B2167" s="2" t="s">
        <v>2167</v>
      </c>
      <c r="C2167" s="2" t="s">
        <v>52</v>
      </c>
      <c r="D2167" s="3">
        <v>3646</v>
      </c>
      <c r="E2167" s="4" t="s">
        <v>53</v>
      </c>
      <c r="F2167" s="5">
        <v>12.69</v>
      </c>
      <c r="G2167" s="4" t="s">
        <v>54</v>
      </c>
      <c r="H2167" s="6">
        <f t="shared" si="33"/>
        <v>46267.74</v>
      </c>
    </row>
    <row r="2168" spans="1:8" x14ac:dyDescent="0.2">
      <c r="A2168" s="2" t="s">
        <v>2246</v>
      </c>
      <c r="B2168" s="2" t="s">
        <v>2167</v>
      </c>
      <c r="C2168" s="2" t="s">
        <v>33</v>
      </c>
      <c r="D2168" s="3">
        <v>2398</v>
      </c>
      <c r="E2168" s="4" t="s">
        <v>34</v>
      </c>
      <c r="F2168" s="5">
        <v>3.97</v>
      </c>
      <c r="G2168" s="4" t="s">
        <v>35</v>
      </c>
      <c r="H2168" s="6">
        <f t="shared" si="33"/>
        <v>9520.0600000000013</v>
      </c>
    </row>
    <row r="2169" spans="1:8" x14ac:dyDescent="0.2">
      <c r="A2169" s="2" t="s">
        <v>2247</v>
      </c>
      <c r="B2169" s="2" t="s">
        <v>2167</v>
      </c>
      <c r="C2169" s="2" t="s">
        <v>33</v>
      </c>
      <c r="D2169" s="3">
        <v>1913</v>
      </c>
      <c r="E2169" s="4" t="s">
        <v>34</v>
      </c>
      <c r="F2169" s="5">
        <v>5.59</v>
      </c>
      <c r="G2169" s="4" t="s">
        <v>35</v>
      </c>
      <c r="H2169" s="6">
        <f t="shared" si="33"/>
        <v>10693.67</v>
      </c>
    </row>
    <row r="2170" spans="1:8" x14ac:dyDescent="0.2">
      <c r="A2170" s="2" t="s">
        <v>2248</v>
      </c>
      <c r="B2170" s="2" t="s">
        <v>2167</v>
      </c>
      <c r="C2170" s="2" t="s">
        <v>78</v>
      </c>
      <c r="D2170" s="3">
        <v>2761</v>
      </c>
      <c r="E2170" s="4" t="s">
        <v>38</v>
      </c>
      <c r="F2170" s="5">
        <v>2.2000000000000002</v>
      </c>
      <c r="G2170" s="4" t="s">
        <v>39</v>
      </c>
      <c r="H2170" s="6">
        <f t="shared" si="33"/>
        <v>6074.2000000000007</v>
      </c>
    </row>
    <row r="2171" spans="1:8" x14ac:dyDescent="0.2">
      <c r="A2171" s="2" t="s">
        <v>2249</v>
      </c>
      <c r="B2171" s="2" t="s">
        <v>2167</v>
      </c>
      <c r="C2171" s="2" t="s">
        <v>57</v>
      </c>
      <c r="D2171" s="3">
        <v>2683</v>
      </c>
      <c r="E2171" s="4" t="s">
        <v>20</v>
      </c>
      <c r="F2171" s="5">
        <v>0.79</v>
      </c>
      <c r="G2171" s="4" t="s">
        <v>21</v>
      </c>
      <c r="H2171" s="6">
        <f t="shared" si="33"/>
        <v>2119.5700000000002</v>
      </c>
    </row>
    <row r="2172" spans="1:8" x14ac:dyDescent="0.2">
      <c r="A2172" s="2" t="s">
        <v>2250</v>
      </c>
      <c r="B2172" s="2" t="s">
        <v>2167</v>
      </c>
      <c r="C2172" s="2" t="s">
        <v>78</v>
      </c>
      <c r="D2172" s="3">
        <v>4503</v>
      </c>
      <c r="E2172" s="4" t="s">
        <v>38</v>
      </c>
      <c r="F2172" s="5">
        <v>2.2599999999999998</v>
      </c>
      <c r="G2172" s="4" t="s">
        <v>39</v>
      </c>
      <c r="H2172" s="6">
        <f t="shared" si="33"/>
        <v>10176.779999999999</v>
      </c>
    </row>
    <row r="2173" spans="1:8" x14ac:dyDescent="0.2">
      <c r="A2173" s="2" t="s">
        <v>2251</v>
      </c>
      <c r="B2173" s="2" t="s">
        <v>2167</v>
      </c>
      <c r="C2173" s="2" t="s">
        <v>71</v>
      </c>
      <c r="D2173" s="3">
        <v>4656</v>
      </c>
      <c r="E2173" s="4" t="s">
        <v>72</v>
      </c>
      <c r="F2173" s="5">
        <v>2479.17</v>
      </c>
      <c r="G2173" s="4" t="s">
        <v>73</v>
      </c>
      <c r="H2173" s="6">
        <f t="shared" si="33"/>
        <v>11543015.52</v>
      </c>
    </row>
    <row r="2174" spans="1:8" x14ac:dyDescent="0.2">
      <c r="A2174" s="2" t="s">
        <v>2252</v>
      </c>
      <c r="B2174" s="2" t="s">
        <v>2167</v>
      </c>
      <c r="C2174" s="2" t="s">
        <v>71</v>
      </c>
      <c r="D2174" s="3">
        <v>1416</v>
      </c>
      <c r="E2174" s="4" t="s">
        <v>72</v>
      </c>
      <c r="F2174" s="5">
        <v>2873.56</v>
      </c>
      <c r="G2174" s="4" t="s">
        <v>73</v>
      </c>
      <c r="H2174" s="6">
        <f t="shared" si="33"/>
        <v>4068960.96</v>
      </c>
    </row>
    <row r="2175" spans="1:8" x14ac:dyDescent="0.2">
      <c r="A2175" s="2" t="s">
        <v>2253</v>
      </c>
      <c r="B2175" s="2" t="s">
        <v>2167</v>
      </c>
      <c r="C2175" s="2" t="s">
        <v>42</v>
      </c>
      <c r="D2175" s="3">
        <v>3976</v>
      </c>
      <c r="E2175" s="4" t="s">
        <v>24</v>
      </c>
      <c r="F2175" s="5">
        <v>4.62</v>
      </c>
      <c r="G2175" s="4" t="s">
        <v>25</v>
      </c>
      <c r="H2175" s="6">
        <f t="shared" si="33"/>
        <v>18369.12</v>
      </c>
    </row>
    <row r="2176" spans="1:8" x14ac:dyDescent="0.2">
      <c r="A2176" s="2" t="s">
        <v>2254</v>
      </c>
      <c r="B2176" s="2" t="s">
        <v>2167</v>
      </c>
      <c r="C2176" s="2" t="s">
        <v>71</v>
      </c>
      <c r="D2176" s="3">
        <v>397</v>
      </c>
      <c r="E2176" s="4" t="s">
        <v>72</v>
      </c>
      <c r="F2176" s="5">
        <v>2489</v>
      </c>
      <c r="G2176" s="4" t="s">
        <v>73</v>
      </c>
      <c r="H2176" s="6">
        <f t="shared" si="33"/>
        <v>988133</v>
      </c>
    </row>
    <row r="2177" spans="1:8" x14ac:dyDescent="0.2">
      <c r="A2177" s="2" t="s">
        <v>2255</v>
      </c>
      <c r="B2177" s="2" t="s">
        <v>2167</v>
      </c>
      <c r="C2177" s="2" t="s">
        <v>71</v>
      </c>
      <c r="D2177" s="3">
        <v>3744</v>
      </c>
      <c r="E2177" s="4" t="s">
        <v>72</v>
      </c>
      <c r="F2177" s="5">
        <v>2973.73</v>
      </c>
      <c r="G2177" s="4" t="s">
        <v>73</v>
      </c>
      <c r="H2177" s="6">
        <f t="shared" si="33"/>
        <v>11133645.119999999</v>
      </c>
    </row>
    <row r="2178" spans="1:8" x14ac:dyDescent="0.2">
      <c r="A2178" s="2" t="s">
        <v>2256</v>
      </c>
      <c r="B2178" s="2" t="s">
        <v>2167</v>
      </c>
      <c r="C2178" s="2" t="s">
        <v>147</v>
      </c>
      <c r="D2178" s="3">
        <v>1327</v>
      </c>
      <c r="E2178" s="4" t="s">
        <v>53</v>
      </c>
      <c r="F2178" s="5">
        <v>13.69</v>
      </c>
      <c r="G2178" s="4" t="s">
        <v>54</v>
      </c>
      <c r="H2178" s="6">
        <f t="shared" ref="H2178:H2241" si="34">D2178*F2178</f>
        <v>18166.63</v>
      </c>
    </row>
    <row r="2179" spans="1:8" x14ac:dyDescent="0.2">
      <c r="A2179" s="2" t="s">
        <v>2257</v>
      </c>
      <c r="B2179" s="2" t="s">
        <v>2167</v>
      </c>
      <c r="C2179" s="2" t="s">
        <v>71</v>
      </c>
      <c r="D2179" s="3">
        <v>1503</v>
      </c>
      <c r="E2179" s="4" t="s">
        <v>72</v>
      </c>
      <c r="F2179" s="5">
        <v>2983.92</v>
      </c>
      <c r="G2179" s="4" t="s">
        <v>73</v>
      </c>
      <c r="H2179" s="6">
        <f t="shared" si="34"/>
        <v>4484831.76</v>
      </c>
    </row>
    <row r="2180" spans="1:8" x14ac:dyDescent="0.2">
      <c r="A2180" s="2" t="s">
        <v>2258</v>
      </c>
      <c r="B2180" s="2" t="s">
        <v>2167</v>
      </c>
      <c r="C2180" s="2" t="s">
        <v>89</v>
      </c>
      <c r="D2180" s="3">
        <v>1330</v>
      </c>
      <c r="E2180" s="4" t="s">
        <v>30</v>
      </c>
      <c r="F2180" s="5">
        <v>2.09</v>
      </c>
      <c r="G2180" s="4" t="s">
        <v>31</v>
      </c>
      <c r="H2180" s="6">
        <f t="shared" si="34"/>
        <v>2779.7</v>
      </c>
    </row>
    <row r="2181" spans="1:8" x14ac:dyDescent="0.2">
      <c r="A2181" s="2" t="s">
        <v>2259</v>
      </c>
      <c r="B2181" s="2" t="s">
        <v>2167</v>
      </c>
      <c r="C2181" s="2" t="s">
        <v>37</v>
      </c>
      <c r="D2181" s="3">
        <v>2603</v>
      </c>
      <c r="E2181" s="4" t="s">
        <v>38</v>
      </c>
      <c r="F2181" s="5">
        <v>3.72</v>
      </c>
      <c r="G2181" s="4" t="s">
        <v>39</v>
      </c>
      <c r="H2181" s="6">
        <f t="shared" si="34"/>
        <v>9683.16</v>
      </c>
    </row>
    <row r="2182" spans="1:8" x14ac:dyDescent="0.2">
      <c r="A2182" s="2" t="s">
        <v>2260</v>
      </c>
      <c r="B2182" s="2" t="s">
        <v>2167</v>
      </c>
      <c r="C2182" s="2" t="s">
        <v>23</v>
      </c>
      <c r="D2182" s="3">
        <v>2143</v>
      </c>
      <c r="E2182" s="4" t="s">
        <v>24</v>
      </c>
      <c r="F2182" s="5">
        <v>14.22</v>
      </c>
      <c r="G2182" s="4" t="s">
        <v>25</v>
      </c>
      <c r="H2182" s="6">
        <f t="shared" si="34"/>
        <v>30473.460000000003</v>
      </c>
    </row>
    <row r="2183" spans="1:8" x14ac:dyDescent="0.2">
      <c r="A2183" s="2" t="s">
        <v>2261</v>
      </c>
      <c r="B2183" s="2" t="s">
        <v>2167</v>
      </c>
      <c r="C2183" s="2" t="s">
        <v>44</v>
      </c>
      <c r="D2183" s="3">
        <v>4617</v>
      </c>
      <c r="E2183" s="4" t="s">
        <v>24</v>
      </c>
      <c r="F2183" s="5">
        <v>1.39</v>
      </c>
      <c r="G2183" s="4" t="s">
        <v>25</v>
      </c>
      <c r="H2183" s="6">
        <f t="shared" si="34"/>
        <v>6417.6299999999992</v>
      </c>
    </row>
    <row r="2184" spans="1:8" x14ac:dyDescent="0.2">
      <c r="A2184" s="2" t="s">
        <v>2262</v>
      </c>
      <c r="B2184" s="2" t="s">
        <v>2167</v>
      </c>
      <c r="C2184" s="2" t="s">
        <v>57</v>
      </c>
      <c r="D2184" s="3">
        <v>2826</v>
      </c>
      <c r="E2184" s="4" t="s">
        <v>20</v>
      </c>
      <c r="F2184" s="5">
        <v>0.66</v>
      </c>
      <c r="G2184" s="4" t="s">
        <v>21</v>
      </c>
      <c r="H2184" s="6">
        <f t="shared" si="34"/>
        <v>1865.16</v>
      </c>
    </row>
    <row r="2185" spans="1:8" x14ac:dyDescent="0.2">
      <c r="A2185" s="2" t="s">
        <v>2263</v>
      </c>
      <c r="B2185" s="2" t="s">
        <v>2167</v>
      </c>
      <c r="C2185" s="2" t="s">
        <v>23</v>
      </c>
      <c r="D2185" s="3">
        <v>4432</v>
      </c>
      <c r="E2185" s="4" t="s">
        <v>24</v>
      </c>
      <c r="F2185" s="5">
        <v>17.850000000000001</v>
      </c>
      <c r="G2185" s="4" t="s">
        <v>25</v>
      </c>
      <c r="H2185" s="6">
        <f t="shared" si="34"/>
        <v>79111.200000000012</v>
      </c>
    </row>
    <row r="2186" spans="1:8" x14ac:dyDescent="0.2">
      <c r="A2186" s="2" t="s">
        <v>2264</v>
      </c>
      <c r="B2186" s="2" t="s">
        <v>2167</v>
      </c>
      <c r="C2186" s="2" t="s">
        <v>29</v>
      </c>
      <c r="D2186" s="3">
        <v>2480</v>
      </c>
      <c r="E2186" s="4" t="s">
        <v>30</v>
      </c>
      <c r="F2186" s="5">
        <v>1.1499999999999999</v>
      </c>
      <c r="G2186" s="4" t="s">
        <v>31</v>
      </c>
      <c r="H2186" s="6">
        <f t="shared" si="34"/>
        <v>2852</v>
      </c>
    </row>
    <row r="2187" spans="1:8" x14ac:dyDescent="0.2">
      <c r="A2187" s="2" t="s">
        <v>2265</v>
      </c>
      <c r="B2187" s="2" t="s">
        <v>2167</v>
      </c>
      <c r="C2187" s="2" t="s">
        <v>33</v>
      </c>
      <c r="D2187" s="3">
        <v>3324</v>
      </c>
      <c r="E2187" s="4" t="s">
        <v>34</v>
      </c>
      <c r="F2187" s="5">
        <v>5.83</v>
      </c>
      <c r="G2187" s="4" t="s">
        <v>35</v>
      </c>
      <c r="H2187" s="6">
        <f t="shared" si="34"/>
        <v>19378.920000000002</v>
      </c>
    </row>
    <row r="2188" spans="1:8" x14ac:dyDescent="0.2">
      <c r="A2188" s="2" t="s">
        <v>2266</v>
      </c>
      <c r="B2188" s="2" t="s">
        <v>2167</v>
      </c>
      <c r="C2188" s="2" t="s">
        <v>89</v>
      </c>
      <c r="D2188" s="3">
        <v>3762</v>
      </c>
      <c r="E2188" s="4" t="s">
        <v>30</v>
      </c>
      <c r="F2188" s="5">
        <v>2.91</v>
      </c>
      <c r="G2188" s="4" t="s">
        <v>31</v>
      </c>
      <c r="H2188" s="6">
        <f t="shared" si="34"/>
        <v>10947.42</v>
      </c>
    </row>
    <row r="2189" spans="1:8" x14ac:dyDescent="0.2">
      <c r="A2189" s="2" t="s">
        <v>2267</v>
      </c>
      <c r="B2189" s="2" t="s">
        <v>2167</v>
      </c>
      <c r="C2189" s="2" t="s">
        <v>89</v>
      </c>
      <c r="D2189" s="3">
        <v>45</v>
      </c>
      <c r="E2189" s="4" t="s">
        <v>30</v>
      </c>
      <c r="F2189" s="5">
        <v>2.96</v>
      </c>
      <c r="G2189" s="4" t="s">
        <v>31</v>
      </c>
      <c r="H2189" s="6">
        <f t="shared" si="34"/>
        <v>133.19999999999999</v>
      </c>
    </row>
    <row r="2190" spans="1:8" x14ac:dyDescent="0.2">
      <c r="A2190" s="2" t="s">
        <v>2268</v>
      </c>
      <c r="B2190" s="2" t="s">
        <v>2167</v>
      </c>
      <c r="C2190" s="2" t="s">
        <v>29</v>
      </c>
      <c r="D2190" s="3">
        <v>4166</v>
      </c>
      <c r="E2190" s="4" t="s">
        <v>30</v>
      </c>
      <c r="F2190" s="5">
        <v>1.4</v>
      </c>
      <c r="G2190" s="4" t="s">
        <v>31</v>
      </c>
      <c r="H2190" s="6">
        <f t="shared" si="34"/>
        <v>5832.4</v>
      </c>
    </row>
    <row r="2191" spans="1:8" x14ac:dyDescent="0.2">
      <c r="A2191" s="2" t="s">
        <v>2269</v>
      </c>
      <c r="B2191" s="2" t="s">
        <v>2167</v>
      </c>
      <c r="C2191" s="2" t="s">
        <v>71</v>
      </c>
      <c r="D2191" s="3">
        <v>3892</v>
      </c>
      <c r="E2191" s="4" t="s">
        <v>72</v>
      </c>
      <c r="F2191" s="5">
        <v>2937.59</v>
      </c>
      <c r="G2191" s="4" t="s">
        <v>73</v>
      </c>
      <c r="H2191" s="6">
        <f t="shared" si="34"/>
        <v>11433100.280000001</v>
      </c>
    </row>
    <row r="2192" spans="1:8" x14ac:dyDescent="0.2">
      <c r="A2192" s="2" t="s">
        <v>2270</v>
      </c>
      <c r="B2192" s="2" t="s">
        <v>2167</v>
      </c>
      <c r="C2192" s="2" t="s">
        <v>46</v>
      </c>
      <c r="D2192" s="3">
        <v>1214</v>
      </c>
      <c r="E2192" s="4" t="s">
        <v>20</v>
      </c>
      <c r="F2192" s="5">
        <v>3.6</v>
      </c>
      <c r="G2192" s="4" t="s">
        <v>21</v>
      </c>
      <c r="H2192" s="6">
        <f t="shared" si="34"/>
        <v>4370.4000000000005</v>
      </c>
    </row>
    <row r="2193" spans="1:8" x14ac:dyDescent="0.2">
      <c r="A2193" s="2" t="s">
        <v>2271</v>
      </c>
      <c r="B2193" s="2" t="s">
        <v>2167</v>
      </c>
      <c r="C2193" s="2" t="s">
        <v>23</v>
      </c>
      <c r="D2193" s="3">
        <v>2784</v>
      </c>
      <c r="E2193" s="4" t="s">
        <v>24</v>
      </c>
      <c r="F2193" s="5">
        <v>16.13</v>
      </c>
      <c r="G2193" s="4" t="s">
        <v>25</v>
      </c>
      <c r="H2193" s="6">
        <f t="shared" si="34"/>
        <v>44905.919999999998</v>
      </c>
    </row>
    <row r="2194" spans="1:8" x14ac:dyDescent="0.2">
      <c r="A2194" s="2" t="s">
        <v>2272</v>
      </c>
      <c r="B2194" s="2" t="s">
        <v>2167</v>
      </c>
      <c r="C2194" s="2" t="s">
        <v>48</v>
      </c>
      <c r="D2194" s="3">
        <v>338</v>
      </c>
      <c r="E2194" s="4" t="s">
        <v>24</v>
      </c>
      <c r="F2194" s="5">
        <v>7.0000000000000007E-2</v>
      </c>
      <c r="G2194" s="4" t="s">
        <v>25</v>
      </c>
      <c r="H2194" s="6">
        <f t="shared" si="34"/>
        <v>23.660000000000004</v>
      </c>
    </row>
    <row r="2195" spans="1:8" x14ac:dyDescent="0.2">
      <c r="A2195" s="2" t="s">
        <v>2273</v>
      </c>
      <c r="B2195" s="2" t="s">
        <v>2167</v>
      </c>
      <c r="C2195" s="2" t="s">
        <v>29</v>
      </c>
      <c r="D2195" s="3">
        <v>967</v>
      </c>
      <c r="E2195" s="4" t="s">
        <v>30</v>
      </c>
      <c r="F2195" s="5">
        <v>1.37</v>
      </c>
      <c r="G2195" s="4" t="s">
        <v>31</v>
      </c>
      <c r="H2195" s="6">
        <f t="shared" si="34"/>
        <v>1324.7900000000002</v>
      </c>
    </row>
    <row r="2196" spans="1:8" x14ac:dyDescent="0.2">
      <c r="A2196" s="2" t="s">
        <v>2274</v>
      </c>
      <c r="B2196" s="2" t="s">
        <v>2167</v>
      </c>
      <c r="C2196" s="2" t="s">
        <v>67</v>
      </c>
      <c r="D2196" s="3">
        <v>1815</v>
      </c>
      <c r="E2196" s="4" t="s">
        <v>24</v>
      </c>
      <c r="F2196" s="5">
        <v>0.43</v>
      </c>
      <c r="G2196" s="4" t="s">
        <v>25</v>
      </c>
      <c r="H2196" s="6">
        <f t="shared" si="34"/>
        <v>780.44999999999993</v>
      </c>
    </row>
    <row r="2197" spans="1:8" x14ac:dyDescent="0.2">
      <c r="A2197" s="2" t="s">
        <v>2275</v>
      </c>
      <c r="B2197" s="2" t="s">
        <v>2167</v>
      </c>
      <c r="C2197" s="2" t="s">
        <v>27</v>
      </c>
      <c r="D2197" s="3">
        <v>2683</v>
      </c>
      <c r="E2197" s="4" t="s">
        <v>20</v>
      </c>
      <c r="F2197" s="5">
        <v>1.27</v>
      </c>
      <c r="G2197" s="4" t="s">
        <v>21</v>
      </c>
      <c r="H2197" s="6">
        <f t="shared" si="34"/>
        <v>3407.41</v>
      </c>
    </row>
    <row r="2198" spans="1:8" x14ac:dyDescent="0.2">
      <c r="A2198" s="2" t="s">
        <v>2276</v>
      </c>
      <c r="B2198" s="2" t="s">
        <v>2167</v>
      </c>
      <c r="C2198" s="2" t="s">
        <v>44</v>
      </c>
      <c r="D2198" s="3">
        <v>4789</v>
      </c>
      <c r="E2198" s="4" t="s">
        <v>24</v>
      </c>
      <c r="F2198" s="5">
        <v>1.27</v>
      </c>
      <c r="G2198" s="4" t="s">
        <v>25</v>
      </c>
      <c r="H2198" s="6">
        <f t="shared" si="34"/>
        <v>6082.03</v>
      </c>
    </row>
    <row r="2199" spans="1:8" x14ac:dyDescent="0.2">
      <c r="A2199" s="2" t="s">
        <v>2277</v>
      </c>
      <c r="B2199" s="2" t="s">
        <v>2167</v>
      </c>
      <c r="C2199" s="2" t="s">
        <v>86</v>
      </c>
      <c r="D2199" s="3">
        <v>1613</v>
      </c>
      <c r="E2199" s="4" t="s">
        <v>72</v>
      </c>
      <c r="F2199" s="5">
        <v>7831.57</v>
      </c>
      <c r="G2199" s="4" t="s">
        <v>73</v>
      </c>
      <c r="H2199" s="6">
        <f t="shared" si="34"/>
        <v>12632322.41</v>
      </c>
    </row>
    <row r="2200" spans="1:8" x14ac:dyDescent="0.2">
      <c r="A2200" s="2" t="s">
        <v>2278</v>
      </c>
      <c r="B2200" s="2" t="s">
        <v>2167</v>
      </c>
      <c r="C2200" s="2" t="s">
        <v>29</v>
      </c>
      <c r="D2200" s="3">
        <v>3659</v>
      </c>
      <c r="E2200" s="4" t="s">
        <v>30</v>
      </c>
      <c r="F2200" s="5">
        <v>1.81</v>
      </c>
      <c r="G2200" s="4" t="s">
        <v>31</v>
      </c>
      <c r="H2200" s="6">
        <f t="shared" si="34"/>
        <v>6622.79</v>
      </c>
    </row>
    <row r="2201" spans="1:8" x14ac:dyDescent="0.2">
      <c r="A2201" s="2" t="s">
        <v>2279</v>
      </c>
      <c r="B2201" s="2" t="s">
        <v>2167</v>
      </c>
      <c r="C2201" s="2" t="s">
        <v>27</v>
      </c>
      <c r="D2201" s="3">
        <v>4202</v>
      </c>
      <c r="E2201" s="4" t="s">
        <v>20</v>
      </c>
      <c r="F2201" s="5">
        <v>1.67</v>
      </c>
      <c r="G2201" s="4" t="s">
        <v>21</v>
      </c>
      <c r="H2201" s="6">
        <f t="shared" si="34"/>
        <v>7017.34</v>
      </c>
    </row>
    <row r="2202" spans="1:8" x14ac:dyDescent="0.2">
      <c r="A2202" s="2" t="s">
        <v>2280</v>
      </c>
      <c r="B2202" s="2" t="s">
        <v>2167</v>
      </c>
      <c r="C2202" s="2" t="s">
        <v>48</v>
      </c>
      <c r="D2202" s="3">
        <v>2613</v>
      </c>
      <c r="E2202" s="4" t="s">
        <v>24</v>
      </c>
      <c r="F2202" s="5">
        <v>0.14000000000000001</v>
      </c>
      <c r="G2202" s="4" t="s">
        <v>25</v>
      </c>
      <c r="H2202" s="6">
        <f t="shared" si="34"/>
        <v>365.82000000000005</v>
      </c>
    </row>
    <row r="2203" spans="1:8" x14ac:dyDescent="0.2">
      <c r="A2203" s="2" t="s">
        <v>2281</v>
      </c>
      <c r="B2203" s="2" t="s">
        <v>2167</v>
      </c>
      <c r="C2203" s="2" t="s">
        <v>78</v>
      </c>
      <c r="D2203" s="3">
        <v>469</v>
      </c>
      <c r="E2203" s="4" t="s">
        <v>38</v>
      </c>
      <c r="F2203" s="5">
        <v>3.04</v>
      </c>
      <c r="G2203" s="4" t="s">
        <v>39</v>
      </c>
      <c r="H2203" s="6">
        <f t="shared" si="34"/>
        <v>1425.76</v>
      </c>
    </row>
    <row r="2204" spans="1:8" x14ac:dyDescent="0.2">
      <c r="A2204" s="2" t="s">
        <v>2282</v>
      </c>
      <c r="B2204" s="2" t="s">
        <v>2167</v>
      </c>
      <c r="C2204" s="2" t="s">
        <v>19</v>
      </c>
      <c r="D2204" s="3">
        <v>3266</v>
      </c>
      <c r="E2204" s="4" t="s">
        <v>20</v>
      </c>
      <c r="F2204" s="5">
        <v>1.19</v>
      </c>
      <c r="G2204" s="4" t="s">
        <v>21</v>
      </c>
      <c r="H2204" s="6">
        <f t="shared" si="34"/>
        <v>3886.54</v>
      </c>
    </row>
    <row r="2205" spans="1:8" x14ac:dyDescent="0.2">
      <c r="A2205" s="2" t="s">
        <v>2283</v>
      </c>
      <c r="B2205" s="2" t="s">
        <v>2284</v>
      </c>
      <c r="C2205" s="2" t="s">
        <v>52</v>
      </c>
      <c r="D2205" s="3">
        <v>3038</v>
      </c>
      <c r="E2205" s="4" t="s">
        <v>53</v>
      </c>
      <c r="F2205" s="5">
        <v>10.93</v>
      </c>
      <c r="G2205" s="4" t="s">
        <v>54</v>
      </c>
      <c r="H2205" s="6">
        <f t="shared" si="34"/>
        <v>33205.339999999997</v>
      </c>
    </row>
    <row r="2206" spans="1:8" x14ac:dyDescent="0.2">
      <c r="A2206" s="2" t="s">
        <v>2285</v>
      </c>
      <c r="B2206" s="2" t="s">
        <v>2284</v>
      </c>
      <c r="C2206" s="2" t="s">
        <v>33</v>
      </c>
      <c r="D2206" s="3">
        <v>2341</v>
      </c>
      <c r="E2206" s="4" t="s">
        <v>34</v>
      </c>
      <c r="F2206" s="5">
        <v>4.3600000000000003</v>
      </c>
      <c r="G2206" s="4" t="s">
        <v>35</v>
      </c>
      <c r="H2206" s="6">
        <f t="shared" si="34"/>
        <v>10206.76</v>
      </c>
    </row>
    <row r="2207" spans="1:8" x14ac:dyDescent="0.2">
      <c r="A2207" s="2" t="s">
        <v>2286</v>
      </c>
      <c r="B2207" s="2" t="s">
        <v>2284</v>
      </c>
      <c r="C2207" s="2" t="s">
        <v>71</v>
      </c>
      <c r="D2207" s="3">
        <v>3660</v>
      </c>
      <c r="E2207" s="4" t="s">
        <v>72</v>
      </c>
      <c r="F2207" s="5">
        <v>2924.58</v>
      </c>
      <c r="G2207" s="4" t="s">
        <v>73</v>
      </c>
      <c r="H2207" s="6">
        <f t="shared" si="34"/>
        <v>10703962.799999999</v>
      </c>
    </row>
    <row r="2208" spans="1:8" x14ac:dyDescent="0.2">
      <c r="A2208" s="2" t="s">
        <v>2287</v>
      </c>
      <c r="B2208" s="2" t="s">
        <v>2284</v>
      </c>
      <c r="C2208" s="2" t="s">
        <v>27</v>
      </c>
      <c r="D2208" s="3">
        <v>1776</v>
      </c>
      <c r="E2208" s="4" t="s">
        <v>20</v>
      </c>
      <c r="F2208" s="5">
        <v>2.0699999999999998</v>
      </c>
      <c r="G2208" s="4" t="s">
        <v>21</v>
      </c>
      <c r="H2208" s="6">
        <f t="shared" si="34"/>
        <v>3676.3199999999997</v>
      </c>
    </row>
    <row r="2209" spans="1:8" x14ac:dyDescent="0.2">
      <c r="A2209" s="2" t="s">
        <v>2288</v>
      </c>
      <c r="B2209" s="2" t="s">
        <v>2284</v>
      </c>
      <c r="C2209" s="2" t="s">
        <v>23</v>
      </c>
      <c r="D2209" s="3">
        <v>3414</v>
      </c>
      <c r="E2209" s="4" t="s">
        <v>24</v>
      </c>
      <c r="F2209" s="5">
        <v>16.82</v>
      </c>
      <c r="G2209" s="4" t="s">
        <v>25</v>
      </c>
      <c r="H2209" s="6">
        <f t="shared" si="34"/>
        <v>57423.48</v>
      </c>
    </row>
    <row r="2210" spans="1:8" x14ac:dyDescent="0.2">
      <c r="A2210" s="2" t="s">
        <v>2289</v>
      </c>
      <c r="B2210" s="2" t="s">
        <v>2284</v>
      </c>
      <c r="C2210" s="2" t="s">
        <v>71</v>
      </c>
      <c r="D2210" s="3">
        <v>1351</v>
      </c>
      <c r="E2210" s="4" t="s">
        <v>72</v>
      </c>
      <c r="F2210" s="5">
        <v>2883.4</v>
      </c>
      <c r="G2210" s="4" t="s">
        <v>73</v>
      </c>
      <c r="H2210" s="6">
        <f t="shared" si="34"/>
        <v>3895473.4</v>
      </c>
    </row>
    <row r="2211" spans="1:8" x14ac:dyDescent="0.2">
      <c r="A2211" s="2" t="s">
        <v>2290</v>
      </c>
      <c r="B2211" s="2" t="s">
        <v>2284</v>
      </c>
      <c r="C2211" s="2" t="s">
        <v>52</v>
      </c>
      <c r="D2211" s="3">
        <v>3403</v>
      </c>
      <c r="E2211" s="4" t="s">
        <v>53</v>
      </c>
      <c r="F2211" s="5">
        <v>9.6999999999999993</v>
      </c>
      <c r="G2211" s="4" t="s">
        <v>54</v>
      </c>
      <c r="H2211" s="6">
        <f t="shared" si="34"/>
        <v>33009.1</v>
      </c>
    </row>
    <row r="2212" spans="1:8" x14ac:dyDescent="0.2">
      <c r="A2212" s="2" t="s">
        <v>2291</v>
      </c>
      <c r="B2212" s="2" t="s">
        <v>2284</v>
      </c>
      <c r="C2212" s="2" t="s">
        <v>46</v>
      </c>
      <c r="D2212" s="3">
        <v>4908</v>
      </c>
      <c r="E2212" s="4" t="s">
        <v>20</v>
      </c>
      <c r="F2212" s="5">
        <v>2.17</v>
      </c>
      <c r="G2212" s="4" t="s">
        <v>21</v>
      </c>
      <c r="H2212" s="6">
        <f t="shared" si="34"/>
        <v>10650.359999999999</v>
      </c>
    </row>
    <row r="2213" spans="1:8" x14ac:dyDescent="0.2">
      <c r="A2213" s="2" t="s">
        <v>2292</v>
      </c>
      <c r="B2213" s="2" t="s">
        <v>2284</v>
      </c>
      <c r="C2213" s="2" t="s">
        <v>44</v>
      </c>
      <c r="D2213" s="3">
        <v>2494</v>
      </c>
      <c r="E2213" s="4" t="s">
        <v>24</v>
      </c>
      <c r="F2213" s="5">
        <v>1.23</v>
      </c>
      <c r="G2213" s="4" t="s">
        <v>25</v>
      </c>
      <c r="H2213" s="6">
        <f t="shared" si="34"/>
        <v>3067.62</v>
      </c>
    </row>
    <row r="2214" spans="1:8" x14ac:dyDescent="0.2">
      <c r="A2214" s="2" t="s">
        <v>2293</v>
      </c>
      <c r="B2214" s="2" t="s">
        <v>2284</v>
      </c>
      <c r="C2214" s="2" t="s">
        <v>78</v>
      </c>
      <c r="D2214" s="3">
        <v>2757</v>
      </c>
      <c r="E2214" s="4" t="s">
        <v>38</v>
      </c>
      <c r="F2214" s="5">
        <v>1.61</v>
      </c>
      <c r="G2214" s="4" t="s">
        <v>39</v>
      </c>
      <c r="H2214" s="6">
        <f t="shared" si="34"/>
        <v>4438.7700000000004</v>
      </c>
    </row>
    <row r="2215" spans="1:8" x14ac:dyDescent="0.2">
      <c r="A2215" s="2" t="s">
        <v>2294</v>
      </c>
      <c r="B2215" s="2" t="s">
        <v>2284</v>
      </c>
      <c r="C2215" s="2" t="s">
        <v>46</v>
      </c>
      <c r="D2215" s="3">
        <v>3088</v>
      </c>
      <c r="E2215" s="4" t="s">
        <v>20</v>
      </c>
      <c r="F2215" s="5">
        <v>2.1800000000000002</v>
      </c>
      <c r="G2215" s="4" t="s">
        <v>21</v>
      </c>
      <c r="H2215" s="6">
        <f t="shared" si="34"/>
        <v>6731.84</v>
      </c>
    </row>
    <row r="2216" spans="1:8" x14ac:dyDescent="0.2">
      <c r="A2216" s="2" t="s">
        <v>2295</v>
      </c>
      <c r="B2216" s="2" t="s">
        <v>2284</v>
      </c>
      <c r="C2216" s="2" t="s">
        <v>52</v>
      </c>
      <c r="D2216" s="3">
        <v>2249</v>
      </c>
      <c r="E2216" s="4" t="s">
        <v>53</v>
      </c>
      <c r="F2216" s="5">
        <v>11.07</v>
      </c>
      <c r="G2216" s="4" t="s">
        <v>54</v>
      </c>
      <c r="H2216" s="6">
        <f t="shared" si="34"/>
        <v>24896.43</v>
      </c>
    </row>
    <row r="2217" spans="1:8" x14ac:dyDescent="0.2">
      <c r="A2217" s="2" t="s">
        <v>2296</v>
      </c>
      <c r="B2217" s="2" t="s">
        <v>2284</v>
      </c>
      <c r="C2217" s="2" t="s">
        <v>29</v>
      </c>
      <c r="D2217" s="3">
        <v>3795</v>
      </c>
      <c r="E2217" s="4" t="s">
        <v>30</v>
      </c>
      <c r="F2217" s="5">
        <v>1.85</v>
      </c>
      <c r="G2217" s="4" t="s">
        <v>31</v>
      </c>
      <c r="H2217" s="6">
        <f t="shared" si="34"/>
        <v>7020.75</v>
      </c>
    </row>
    <row r="2218" spans="1:8" x14ac:dyDescent="0.2">
      <c r="A2218" s="2" t="s">
        <v>2297</v>
      </c>
      <c r="B2218" s="2" t="s">
        <v>2284</v>
      </c>
      <c r="C2218" s="2" t="s">
        <v>89</v>
      </c>
      <c r="D2218" s="3">
        <v>1642</v>
      </c>
      <c r="E2218" s="4" t="s">
        <v>30</v>
      </c>
      <c r="F2218" s="5">
        <v>2.02</v>
      </c>
      <c r="G2218" s="4" t="s">
        <v>31</v>
      </c>
      <c r="H2218" s="6">
        <f t="shared" si="34"/>
        <v>3316.84</v>
      </c>
    </row>
    <row r="2219" spans="1:8" x14ac:dyDescent="0.2">
      <c r="A2219" s="2" t="s">
        <v>2298</v>
      </c>
      <c r="B2219" s="2" t="s">
        <v>2284</v>
      </c>
      <c r="C2219" s="2" t="s">
        <v>67</v>
      </c>
      <c r="D2219" s="3">
        <v>2381</v>
      </c>
      <c r="E2219" s="4" t="s">
        <v>24</v>
      </c>
      <c r="F2219" s="5">
        <v>0.47</v>
      </c>
      <c r="G2219" s="4" t="s">
        <v>25</v>
      </c>
      <c r="H2219" s="6">
        <f t="shared" si="34"/>
        <v>1119.07</v>
      </c>
    </row>
    <row r="2220" spans="1:8" x14ac:dyDescent="0.2">
      <c r="A2220" s="2" t="s">
        <v>2299</v>
      </c>
      <c r="B2220" s="2" t="s">
        <v>2284</v>
      </c>
      <c r="C2220" s="2" t="s">
        <v>37</v>
      </c>
      <c r="D2220" s="3">
        <v>2483</v>
      </c>
      <c r="E2220" s="4" t="s">
        <v>38</v>
      </c>
      <c r="F2220" s="5">
        <v>4.5</v>
      </c>
      <c r="G2220" s="4" t="s">
        <v>39</v>
      </c>
      <c r="H2220" s="6">
        <f t="shared" si="34"/>
        <v>11173.5</v>
      </c>
    </row>
    <row r="2221" spans="1:8" x14ac:dyDescent="0.2">
      <c r="A2221" s="2" t="s">
        <v>2300</v>
      </c>
      <c r="B2221" s="2" t="s">
        <v>2284</v>
      </c>
      <c r="C2221" s="2" t="s">
        <v>71</v>
      </c>
      <c r="D2221" s="3">
        <v>4057</v>
      </c>
      <c r="E2221" s="4" t="s">
        <v>72</v>
      </c>
      <c r="F2221" s="5">
        <v>2735.57</v>
      </c>
      <c r="G2221" s="4" t="s">
        <v>73</v>
      </c>
      <c r="H2221" s="6">
        <f t="shared" si="34"/>
        <v>11098207.49</v>
      </c>
    </row>
    <row r="2222" spans="1:8" x14ac:dyDescent="0.2">
      <c r="A2222" s="2" t="s">
        <v>2301</v>
      </c>
      <c r="B2222" s="2" t="s">
        <v>2284</v>
      </c>
      <c r="C2222" s="2" t="s">
        <v>23</v>
      </c>
      <c r="D2222" s="3">
        <v>1849</v>
      </c>
      <c r="E2222" s="4" t="s">
        <v>24</v>
      </c>
      <c r="F2222" s="5">
        <v>12.16</v>
      </c>
      <c r="G2222" s="4" t="s">
        <v>25</v>
      </c>
      <c r="H2222" s="6">
        <f t="shared" si="34"/>
        <v>22483.84</v>
      </c>
    </row>
    <row r="2223" spans="1:8" x14ac:dyDescent="0.2">
      <c r="A2223" s="2" t="s">
        <v>2302</v>
      </c>
      <c r="B2223" s="2" t="s">
        <v>2284</v>
      </c>
      <c r="C2223" s="2" t="s">
        <v>33</v>
      </c>
      <c r="D2223" s="3">
        <v>1271</v>
      </c>
      <c r="E2223" s="4" t="s">
        <v>34</v>
      </c>
      <c r="F2223" s="5">
        <v>4.16</v>
      </c>
      <c r="G2223" s="4" t="s">
        <v>35</v>
      </c>
      <c r="H2223" s="6">
        <f t="shared" si="34"/>
        <v>5287.3600000000006</v>
      </c>
    </row>
    <row r="2224" spans="1:8" x14ac:dyDescent="0.2">
      <c r="A2224" s="2" t="s">
        <v>2303</v>
      </c>
      <c r="B2224" s="2" t="s">
        <v>2284</v>
      </c>
      <c r="C2224" s="2" t="s">
        <v>48</v>
      </c>
      <c r="D2224" s="3">
        <v>1027</v>
      </c>
      <c r="E2224" s="4" t="s">
        <v>24</v>
      </c>
      <c r="F2224" s="5">
        <v>0.15</v>
      </c>
      <c r="G2224" s="4" t="s">
        <v>25</v>
      </c>
      <c r="H2224" s="6">
        <f t="shared" si="34"/>
        <v>154.04999999999998</v>
      </c>
    </row>
    <row r="2225" spans="1:8" x14ac:dyDescent="0.2">
      <c r="A2225" s="2" t="s">
        <v>2304</v>
      </c>
      <c r="B2225" s="2" t="s">
        <v>2284</v>
      </c>
      <c r="C2225" s="2" t="s">
        <v>71</v>
      </c>
      <c r="D2225" s="3">
        <v>3427</v>
      </c>
      <c r="E2225" s="4" t="s">
        <v>72</v>
      </c>
      <c r="F2225" s="5">
        <v>2507.62</v>
      </c>
      <c r="G2225" s="4" t="s">
        <v>73</v>
      </c>
      <c r="H2225" s="6">
        <f t="shared" si="34"/>
        <v>8593613.7400000002</v>
      </c>
    </row>
    <row r="2226" spans="1:8" x14ac:dyDescent="0.2">
      <c r="A2226" s="2" t="s">
        <v>2305</v>
      </c>
      <c r="B2226" s="2" t="s">
        <v>2284</v>
      </c>
      <c r="C2226" s="2" t="s">
        <v>42</v>
      </c>
      <c r="D2226" s="3">
        <v>243</v>
      </c>
      <c r="E2226" s="4" t="s">
        <v>24</v>
      </c>
      <c r="F2226" s="5">
        <v>3.86</v>
      </c>
      <c r="G2226" s="4" t="s">
        <v>25</v>
      </c>
      <c r="H2226" s="6">
        <f t="shared" si="34"/>
        <v>937.98</v>
      </c>
    </row>
    <row r="2227" spans="1:8" x14ac:dyDescent="0.2">
      <c r="A2227" s="2" t="s">
        <v>2306</v>
      </c>
      <c r="B2227" s="2" t="s">
        <v>2284</v>
      </c>
      <c r="C2227" s="2" t="s">
        <v>86</v>
      </c>
      <c r="D2227" s="3">
        <v>4049</v>
      </c>
      <c r="E2227" s="4" t="s">
        <v>72</v>
      </c>
      <c r="F2227" s="5">
        <v>9192.07</v>
      </c>
      <c r="G2227" s="4" t="s">
        <v>73</v>
      </c>
      <c r="H2227" s="6">
        <f t="shared" si="34"/>
        <v>37218691.43</v>
      </c>
    </row>
    <row r="2228" spans="1:8" x14ac:dyDescent="0.2">
      <c r="A2228" s="2" t="s">
        <v>2307</v>
      </c>
      <c r="B2228" s="2" t="s">
        <v>2284</v>
      </c>
      <c r="C2228" s="2" t="s">
        <v>27</v>
      </c>
      <c r="D2228" s="3">
        <v>4916</v>
      </c>
      <c r="E2228" s="4" t="s">
        <v>20</v>
      </c>
      <c r="F2228" s="5">
        <v>2.09</v>
      </c>
      <c r="G2228" s="4" t="s">
        <v>21</v>
      </c>
      <c r="H2228" s="6">
        <f t="shared" si="34"/>
        <v>10274.439999999999</v>
      </c>
    </row>
    <row r="2229" spans="1:8" x14ac:dyDescent="0.2">
      <c r="A2229" s="2" t="s">
        <v>2308</v>
      </c>
      <c r="B2229" s="2" t="s">
        <v>2284</v>
      </c>
      <c r="C2229" s="2" t="s">
        <v>46</v>
      </c>
      <c r="D2229" s="3">
        <v>3946</v>
      </c>
      <c r="E2229" s="4" t="s">
        <v>20</v>
      </c>
      <c r="F2229" s="5">
        <v>3.13</v>
      </c>
      <c r="G2229" s="4" t="s">
        <v>21</v>
      </c>
      <c r="H2229" s="6">
        <f t="shared" si="34"/>
        <v>12350.98</v>
      </c>
    </row>
    <row r="2230" spans="1:8" x14ac:dyDescent="0.2">
      <c r="A2230" s="2" t="s">
        <v>2309</v>
      </c>
      <c r="B2230" s="2" t="s">
        <v>2284</v>
      </c>
      <c r="C2230" s="2" t="s">
        <v>86</v>
      </c>
      <c r="D2230" s="3">
        <v>3909</v>
      </c>
      <c r="E2230" s="4" t="s">
        <v>72</v>
      </c>
      <c r="F2230" s="5">
        <v>9163.9599999999991</v>
      </c>
      <c r="G2230" s="4" t="s">
        <v>73</v>
      </c>
      <c r="H2230" s="6">
        <f t="shared" si="34"/>
        <v>35821919.639999993</v>
      </c>
    </row>
    <row r="2231" spans="1:8" x14ac:dyDescent="0.2">
      <c r="A2231" s="2" t="s">
        <v>2310</v>
      </c>
      <c r="B2231" s="2" t="s">
        <v>2284</v>
      </c>
      <c r="C2231" s="2" t="s">
        <v>50</v>
      </c>
      <c r="D2231" s="3">
        <v>3067</v>
      </c>
      <c r="E2231" s="4" t="s">
        <v>20</v>
      </c>
      <c r="F2231" s="5">
        <v>1.01</v>
      </c>
      <c r="G2231" s="4" t="s">
        <v>21</v>
      </c>
      <c r="H2231" s="6">
        <f t="shared" si="34"/>
        <v>3097.67</v>
      </c>
    </row>
    <row r="2232" spans="1:8" x14ac:dyDescent="0.2">
      <c r="A2232" s="2" t="s">
        <v>2311</v>
      </c>
      <c r="B2232" s="2" t="s">
        <v>2284</v>
      </c>
      <c r="C2232" s="2" t="s">
        <v>46</v>
      </c>
      <c r="D2232" s="3">
        <v>153</v>
      </c>
      <c r="E2232" s="4" t="s">
        <v>20</v>
      </c>
      <c r="F2232" s="5">
        <v>3.69</v>
      </c>
      <c r="G2232" s="4" t="s">
        <v>21</v>
      </c>
      <c r="H2232" s="6">
        <f t="shared" si="34"/>
        <v>564.56999999999994</v>
      </c>
    </row>
    <row r="2233" spans="1:8" x14ac:dyDescent="0.2">
      <c r="A2233" s="2" t="s">
        <v>2312</v>
      </c>
      <c r="B2233" s="2" t="s">
        <v>2284</v>
      </c>
      <c r="C2233" s="2" t="s">
        <v>118</v>
      </c>
      <c r="D2233" s="3">
        <v>4774</v>
      </c>
      <c r="E2233" s="4" t="s">
        <v>24</v>
      </c>
      <c r="F2233" s="5">
        <v>0.44</v>
      </c>
      <c r="G2233" s="4" t="s">
        <v>25</v>
      </c>
      <c r="H2233" s="6">
        <f t="shared" si="34"/>
        <v>2100.56</v>
      </c>
    </row>
    <row r="2234" spans="1:8" x14ac:dyDescent="0.2">
      <c r="A2234" s="2" t="s">
        <v>2313</v>
      </c>
      <c r="B2234" s="2" t="s">
        <v>2284</v>
      </c>
      <c r="C2234" s="2" t="s">
        <v>57</v>
      </c>
      <c r="D2234" s="3">
        <v>3786</v>
      </c>
      <c r="E2234" s="4" t="s">
        <v>20</v>
      </c>
      <c r="F2234" s="5">
        <v>0.95</v>
      </c>
      <c r="G2234" s="4" t="s">
        <v>21</v>
      </c>
      <c r="H2234" s="6">
        <f t="shared" si="34"/>
        <v>3596.7</v>
      </c>
    </row>
    <row r="2235" spans="1:8" x14ac:dyDescent="0.2">
      <c r="A2235" s="2" t="s">
        <v>2314</v>
      </c>
      <c r="B2235" s="2" t="s">
        <v>2284</v>
      </c>
      <c r="C2235" s="2" t="s">
        <v>89</v>
      </c>
      <c r="D2235" s="3">
        <v>2937</v>
      </c>
      <c r="E2235" s="4" t="s">
        <v>30</v>
      </c>
      <c r="F2235" s="5">
        <v>2</v>
      </c>
      <c r="G2235" s="4" t="s">
        <v>31</v>
      </c>
      <c r="H2235" s="6">
        <f t="shared" si="34"/>
        <v>5874</v>
      </c>
    </row>
    <row r="2236" spans="1:8" x14ac:dyDescent="0.2">
      <c r="A2236" s="2" t="s">
        <v>2315</v>
      </c>
      <c r="B2236" s="2" t="s">
        <v>2284</v>
      </c>
      <c r="C2236" s="2" t="s">
        <v>86</v>
      </c>
      <c r="D2236" s="3">
        <v>2968</v>
      </c>
      <c r="E2236" s="4" t="s">
        <v>72</v>
      </c>
      <c r="F2236" s="5">
        <v>8387.32</v>
      </c>
      <c r="G2236" s="4" t="s">
        <v>73</v>
      </c>
      <c r="H2236" s="6">
        <f t="shared" si="34"/>
        <v>24893565.759999998</v>
      </c>
    </row>
    <row r="2237" spans="1:8" x14ac:dyDescent="0.2">
      <c r="A2237" s="2" t="s">
        <v>2316</v>
      </c>
      <c r="B2237" s="2" t="s">
        <v>2284</v>
      </c>
      <c r="C2237" s="2" t="s">
        <v>19</v>
      </c>
      <c r="D2237" s="3">
        <v>409</v>
      </c>
      <c r="E2237" s="4" t="s">
        <v>20</v>
      </c>
      <c r="F2237" s="5">
        <v>1.27</v>
      </c>
      <c r="G2237" s="4" t="s">
        <v>21</v>
      </c>
      <c r="H2237" s="6">
        <f t="shared" si="34"/>
        <v>519.43000000000006</v>
      </c>
    </row>
    <row r="2238" spans="1:8" x14ac:dyDescent="0.2">
      <c r="A2238" s="2" t="s">
        <v>2317</v>
      </c>
      <c r="B2238" s="2" t="s">
        <v>2284</v>
      </c>
      <c r="C2238" s="2" t="s">
        <v>78</v>
      </c>
      <c r="D2238" s="3">
        <v>639</v>
      </c>
      <c r="E2238" s="4" t="s">
        <v>38</v>
      </c>
      <c r="F2238" s="5">
        <v>2.37</v>
      </c>
      <c r="G2238" s="4" t="s">
        <v>39</v>
      </c>
      <c r="H2238" s="6">
        <f t="shared" si="34"/>
        <v>1514.43</v>
      </c>
    </row>
    <row r="2239" spans="1:8" x14ac:dyDescent="0.2">
      <c r="A2239" s="2" t="s">
        <v>2318</v>
      </c>
      <c r="B2239" s="2" t="s">
        <v>2284</v>
      </c>
      <c r="C2239" s="2" t="s">
        <v>118</v>
      </c>
      <c r="D2239" s="3">
        <v>784</v>
      </c>
      <c r="E2239" s="4" t="s">
        <v>24</v>
      </c>
      <c r="F2239" s="5">
        <v>0.82</v>
      </c>
      <c r="G2239" s="4" t="s">
        <v>25</v>
      </c>
      <c r="H2239" s="6">
        <f t="shared" si="34"/>
        <v>642.88</v>
      </c>
    </row>
    <row r="2240" spans="1:8" x14ac:dyDescent="0.2">
      <c r="A2240" s="2" t="s">
        <v>2319</v>
      </c>
      <c r="B2240" s="2" t="s">
        <v>2284</v>
      </c>
      <c r="C2240" s="2" t="s">
        <v>118</v>
      </c>
      <c r="D2240" s="3">
        <v>4464</v>
      </c>
      <c r="E2240" s="4" t="s">
        <v>24</v>
      </c>
      <c r="F2240" s="5">
        <v>0.63</v>
      </c>
      <c r="G2240" s="4" t="s">
        <v>25</v>
      </c>
      <c r="H2240" s="6">
        <f t="shared" si="34"/>
        <v>2812.32</v>
      </c>
    </row>
    <row r="2241" spans="1:8" x14ac:dyDescent="0.2">
      <c r="A2241" s="2" t="s">
        <v>2320</v>
      </c>
      <c r="B2241" s="2" t="s">
        <v>2284</v>
      </c>
      <c r="C2241" s="2" t="s">
        <v>57</v>
      </c>
      <c r="D2241" s="3">
        <v>2476</v>
      </c>
      <c r="E2241" s="4" t="s">
        <v>20</v>
      </c>
      <c r="F2241" s="5">
        <v>0.71</v>
      </c>
      <c r="G2241" s="4" t="s">
        <v>21</v>
      </c>
      <c r="H2241" s="6">
        <f t="shared" si="34"/>
        <v>1757.9599999999998</v>
      </c>
    </row>
    <row r="2242" spans="1:8" x14ac:dyDescent="0.2">
      <c r="A2242" s="2" t="s">
        <v>2321</v>
      </c>
      <c r="B2242" s="2" t="s">
        <v>2284</v>
      </c>
      <c r="C2242" s="2" t="s">
        <v>19</v>
      </c>
      <c r="D2242" s="3">
        <v>795</v>
      </c>
      <c r="E2242" s="4" t="s">
        <v>20</v>
      </c>
      <c r="F2242" s="5">
        <v>1.42</v>
      </c>
      <c r="G2242" s="4" t="s">
        <v>21</v>
      </c>
      <c r="H2242" s="6">
        <f t="shared" ref="H2242:H2305" si="35">D2242*F2242</f>
        <v>1128.8999999999999</v>
      </c>
    </row>
    <row r="2243" spans="1:8" x14ac:dyDescent="0.2">
      <c r="A2243" s="2" t="s">
        <v>2322</v>
      </c>
      <c r="B2243" s="2" t="s">
        <v>2284</v>
      </c>
      <c r="C2243" s="2" t="s">
        <v>19</v>
      </c>
      <c r="D2243" s="3">
        <v>1187</v>
      </c>
      <c r="E2243" s="4" t="s">
        <v>20</v>
      </c>
      <c r="F2243" s="5">
        <v>1.1100000000000001</v>
      </c>
      <c r="G2243" s="4" t="s">
        <v>21</v>
      </c>
      <c r="H2243" s="6">
        <f t="shared" si="35"/>
        <v>1317.5700000000002</v>
      </c>
    </row>
    <row r="2244" spans="1:8" x14ac:dyDescent="0.2">
      <c r="A2244" s="2" t="s">
        <v>2323</v>
      </c>
      <c r="B2244" s="2" t="s">
        <v>2284</v>
      </c>
      <c r="C2244" s="2" t="s">
        <v>78</v>
      </c>
      <c r="D2244" s="3">
        <v>2315</v>
      </c>
      <c r="E2244" s="4" t="s">
        <v>38</v>
      </c>
      <c r="F2244" s="5">
        <v>2.13</v>
      </c>
      <c r="G2244" s="4" t="s">
        <v>39</v>
      </c>
      <c r="H2244" s="6">
        <f t="shared" si="35"/>
        <v>4930.95</v>
      </c>
    </row>
    <row r="2245" spans="1:8" x14ac:dyDescent="0.2">
      <c r="A2245" s="2" t="s">
        <v>2324</v>
      </c>
      <c r="B2245" s="2" t="s">
        <v>2284</v>
      </c>
      <c r="C2245" s="2" t="s">
        <v>48</v>
      </c>
      <c r="D2245" s="3">
        <v>3385</v>
      </c>
      <c r="E2245" s="4" t="s">
        <v>24</v>
      </c>
      <c r="F2245" s="5">
        <v>0.1</v>
      </c>
      <c r="G2245" s="4" t="s">
        <v>25</v>
      </c>
      <c r="H2245" s="6">
        <f t="shared" si="35"/>
        <v>338.5</v>
      </c>
    </row>
    <row r="2246" spans="1:8" x14ac:dyDescent="0.2">
      <c r="A2246" s="2" t="s">
        <v>2325</v>
      </c>
      <c r="B2246" s="2" t="s">
        <v>2284</v>
      </c>
      <c r="C2246" s="2" t="s">
        <v>118</v>
      </c>
      <c r="D2246" s="3">
        <v>849</v>
      </c>
      <c r="E2246" s="4" t="s">
        <v>24</v>
      </c>
      <c r="F2246" s="5">
        <v>0.55000000000000004</v>
      </c>
      <c r="G2246" s="4" t="s">
        <v>25</v>
      </c>
      <c r="H2246" s="6">
        <f t="shared" si="35"/>
        <v>466.95000000000005</v>
      </c>
    </row>
    <row r="2247" spans="1:8" x14ac:dyDescent="0.2">
      <c r="A2247" s="2" t="s">
        <v>2326</v>
      </c>
      <c r="B2247" s="2" t="s">
        <v>2284</v>
      </c>
      <c r="C2247" s="2" t="s">
        <v>78</v>
      </c>
      <c r="D2247" s="3">
        <v>1821</v>
      </c>
      <c r="E2247" s="4" t="s">
        <v>38</v>
      </c>
      <c r="F2247" s="5">
        <v>2.91</v>
      </c>
      <c r="G2247" s="4" t="s">
        <v>39</v>
      </c>
      <c r="H2247" s="6">
        <f t="shared" si="35"/>
        <v>5299.1100000000006</v>
      </c>
    </row>
    <row r="2248" spans="1:8" x14ac:dyDescent="0.2">
      <c r="A2248" s="2" t="s">
        <v>2327</v>
      </c>
      <c r="B2248" s="2" t="s">
        <v>2284</v>
      </c>
      <c r="C2248" s="2" t="s">
        <v>29</v>
      </c>
      <c r="D2248" s="3">
        <v>4316</v>
      </c>
      <c r="E2248" s="4" t="s">
        <v>30</v>
      </c>
      <c r="F2248" s="5">
        <v>2.02</v>
      </c>
      <c r="G2248" s="4" t="s">
        <v>31</v>
      </c>
      <c r="H2248" s="6">
        <f t="shared" si="35"/>
        <v>8718.32</v>
      </c>
    </row>
    <row r="2249" spans="1:8" x14ac:dyDescent="0.2">
      <c r="A2249" s="2" t="s">
        <v>2328</v>
      </c>
      <c r="B2249" s="2" t="s">
        <v>2284</v>
      </c>
      <c r="C2249" s="2" t="s">
        <v>29</v>
      </c>
      <c r="D2249" s="3">
        <v>943</v>
      </c>
      <c r="E2249" s="4" t="s">
        <v>30</v>
      </c>
      <c r="F2249" s="5">
        <v>1.5</v>
      </c>
      <c r="G2249" s="4" t="s">
        <v>31</v>
      </c>
      <c r="H2249" s="6">
        <f t="shared" si="35"/>
        <v>1414.5</v>
      </c>
    </row>
    <row r="2250" spans="1:8" x14ac:dyDescent="0.2">
      <c r="A2250" s="2" t="s">
        <v>2329</v>
      </c>
      <c r="B2250" s="2" t="s">
        <v>2284</v>
      </c>
      <c r="C2250" s="2" t="s">
        <v>27</v>
      </c>
      <c r="D2250" s="3">
        <v>964</v>
      </c>
      <c r="E2250" s="4" t="s">
        <v>20</v>
      </c>
      <c r="F2250" s="5">
        <v>2.1800000000000002</v>
      </c>
      <c r="G2250" s="4" t="s">
        <v>21</v>
      </c>
      <c r="H2250" s="6">
        <f t="shared" si="35"/>
        <v>2101.52</v>
      </c>
    </row>
    <row r="2251" spans="1:8" x14ac:dyDescent="0.2">
      <c r="A2251" s="2" t="s">
        <v>2330</v>
      </c>
      <c r="B2251" s="2" t="s">
        <v>2284</v>
      </c>
      <c r="C2251" s="2" t="s">
        <v>33</v>
      </c>
      <c r="D2251" s="3">
        <v>3938</v>
      </c>
      <c r="E2251" s="4" t="s">
        <v>34</v>
      </c>
      <c r="F2251" s="5">
        <v>4.37</v>
      </c>
      <c r="G2251" s="4" t="s">
        <v>35</v>
      </c>
      <c r="H2251" s="6">
        <f t="shared" si="35"/>
        <v>17209.060000000001</v>
      </c>
    </row>
    <row r="2252" spans="1:8" x14ac:dyDescent="0.2">
      <c r="A2252" s="2" t="s">
        <v>2331</v>
      </c>
      <c r="B2252" s="2" t="s">
        <v>2284</v>
      </c>
      <c r="C2252" s="2" t="s">
        <v>19</v>
      </c>
      <c r="D2252" s="3">
        <v>1148</v>
      </c>
      <c r="E2252" s="4" t="s">
        <v>20</v>
      </c>
      <c r="F2252" s="5">
        <v>1.59</v>
      </c>
      <c r="G2252" s="4" t="s">
        <v>21</v>
      </c>
      <c r="H2252" s="6">
        <f t="shared" si="35"/>
        <v>1825.3200000000002</v>
      </c>
    </row>
    <row r="2253" spans="1:8" x14ac:dyDescent="0.2">
      <c r="A2253" s="2" t="s">
        <v>2332</v>
      </c>
      <c r="B2253" s="2" t="s">
        <v>2284</v>
      </c>
      <c r="C2253" s="2" t="s">
        <v>147</v>
      </c>
      <c r="D2253" s="3">
        <v>4295</v>
      </c>
      <c r="E2253" s="4" t="s">
        <v>53</v>
      </c>
      <c r="F2253" s="5">
        <v>14.11</v>
      </c>
      <c r="G2253" s="4" t="s">
        <v>54</v>
      </c>
      <c r="H2253" s="6">
        <f t="shared" si="35"/>
        <v>60602.45</v>
      </c>
    </row>
    <row r="2254" spans="1:8" x14ac:dyDescent="0.2">
      <c r="A2254" s="2" t="s">
        <v>2333</v>
      </c>
      <c r="B2254" s="2" t="s">
        <v>2284</v>
      </c>
      <c r="C2254" s="2" t="s">
        <v>57</v>
      </c>
      <c r="D2254" s="3">
        <v>1420</v>
      </c>
      <c r="E2254" s="4" t="s">
        <v>20</v>
      </c>
      <c r="F2254" s="5">
        <v>0.88</v>
      </c>
      <c r="G2254" s="4" t="s">
        <v>21</v>
      </c>
      <c r="H2254" s="6">
        <f t="shared" si="35"/>
        <v>1249.5999999999999</v>
      </c>
    </row>
    <row r="2255" spans="1:8" x14ac:dyDescent="0.2">
      <c r="A2255" s="2" t="s">
        <v>2334</v>
      </c>
      <c r="B2255" s="2" t="s">
        <v>2284</v>
      </c>
      <c r="C2255" s="2" t="s">
        <v>33</v>
      </c>
      <c r="D2255" s="3">
        <v>981</v>
      </c>
      <c r="E2255" s="4" t="s">
        <v>34</v>
      </c>
      <c r="F2255" s="5">
        <v>4.0599999999999996</v>
      </c>
      <c r="G2255" s="4" t="s">
        <v>35</v>
      </c>
      <c r="H2255" s="6">
        <f t="shared" si="35"/>
        <v>3982.8599999999997</v>
      </c>
    </row>
    <row r="2256" spans="1:8" x14ac:dyDescent="0.2">
      <c r="A2256" s="2" t="s">
        <v>2335</v>
      </c>
      <c r="B2256" s="2" t="s">
        <v>2284</v>
      </c>
      <c r="C2256" s="2" t="s">
        <v>89</v>
      </c>
      <c r="D2256" s="3">
        <v>1866</v>
      </c>
      <c r="E2256" s="4" t="s">
        <v>30</v>
      </c>
      <c r="F2256" s="5">
        <v>2.17</v>
      </c>
      <c r="G2256" s="4" t="s">
        <v>31</v>
      </c>
      <c r="H2256" s="6">
        <f t="shared" si="35"/>
        <v>4049.22</v>
      </c>
    </row>
    <row r="2257" spans="1:8" x14ac:dyDescent="0.2">
      <c r="A2257" s="2" t="s">
        <v>2336</v>
      </c>
      <c r="B2257" s="2" t="s">
        <v>2284</v>
      </c>
      <c r="C2257" s="2" t="s">
        <v>44</v>
      </c>
      <c r="D2257" s="3">
        <v>1076</v>
      </c>
      <c r="E2257" s="4" t="s">
        <v>24</v>
      </c>
      <c r="F2257" s="5">
        <v>1.59</v>
      </c>
      <c r="G2257" s="4" t="s">
        <v>25</v>
      </c>
      <c r="H2257" s="6">
        <f t="shared" si="35"/>
        <v>1710.8400000000001</v>
      </c>
    </row>
    <row r="2258" spans="1:8" x14ac:dyDescent="0.2">
      <c r="A2258" s="2" t="s">
        <v>2337</v>
      </c>
      <c r="B2258" s="2" t="s">
        <v>2284</v>
      </c>
      <c r="C2258" s="2" t="s">
        <v>52</v>
      </c>
      <c r="D2258" s="3">
        <v>925</v>
      </c>
      <c r="E2258" s="4" t="s">
        <v>53</v>
      </c>
      <c r="F2258" s="5">
        <v>9.39</v>
      </c>
      <c r="G2258" s="4" t="s">
        <v>54</v>
      </c>
      <c r="H2258" s="6">
        <f t="shared" si="35"/>
        <v>8685.75</v>
      </c>
    </row>
    <row r="2259" spans="1:8" x14ac:dyDescent="0.2">
      <c r="A2259" s="2" t="s">
        <v>2338</v>
      </c>
      <c r="B2259" s="2" t="s">
        <v>2284</v>
      </c>
      <c r="C2259" s="2" t="s">
        <v>48</v>
      </c>
      <c r="D2259" s="3">
        <v>3542</v>
      </c>
      <c r="E2259" s="4" t="s">
        <v>24</v>
      </c>
      <c r="F2259" s="5">
        <v>0.06</v>
      </c>
      <c r="G2259" s="4" t="s">
        <v>25</v>
      </c>
      <c r="H2259" s="6">
        <f t="shared" si="35"/>
        <v>212.51999999999998</v>
      </c>
    </row>
    <row r="2260" spans="1:8" x14ac:dyDescent="0.2">
      <c r="A2260" s="2" t="s">
        <v>2339</v>
      </c>
      <c r="B2260" s="2" t="s">
        <v>2284</v>
      </c>
      <c r="C2260" s="2" t="s">
        <v>50</v>
      </c>
      <c r="D2260" s="3">
        <v>278</v>
      </c>
      <c r="E2260" s="4" t="s">
        <v>20</v>
      </c>
      <c r="F2260" s="5">
        <v>1.18</v>
      </c>
      <c r="G2260" s="4" t="s">
        <v>21</v>
      </c>
      <c r="H2260" s="6">
        <f t="shared" si="35"/>
        <v>328.03999999999996</v>
      </c>
    </row>
    <row r="2261" spans="1:8" x14ac:dyDescent="0.2">
      <c r="A2261" s="2" t="s">
        <v>2340</v>
      </c>
      <c r="B2261" s="2" t="s">
        <v>2284</v>
      </c>
      <c r="C2261" s="2" t="s">
        <v>78</v>
      </c>
      <c r="D2261" s="3">
        <v>4869</v>
      </c>
      <c r="E2261" s="4" t="s">
        <v>38</v>
      </c>
      <c r="F2261" s="5">
        <v>1.6</v>
      </c>
      <c r="G2261" s="4" t="s">
        <v>39</v>
      </c>
      <c r="H2261" s="6">
        <f t="shared" si="35"/>
        <v>7790.4000000000005</v>
      </c>
    </row>
    <row r="2262" spans="1:8" x14ac:dyDescent="0.2">
      <c r="A2262" s="2" t="s">
        <v>2341</v>
      </c>
      <c r="B2262" s="2" t="s">
        <v>2342</v>
      </c>
      <c r="C2262" s="2" t="s">
        <v>50</v>
      </c>
      <c r="D2262" s="3">
        <v>2082</v>
      </c>
      <c r="E2262" s="4" t="s">
        <v>20</v>
      </c>
      <c r="F2262" s="5">
        <v>0.73</v>
      </c>
      <c r="G2262" s="4" t="s">
        <v>21</v>
      </c>
      <c r="H2262" s="6">
        <f t="shared" si="35"/>
        <v>1519.86</v>
      </c>
    </row>
    <row r="2263" spans="1:8" x14ac:dyDescent="0.2">
      <c r="A2263" s="2" t="s">
        <v>2343</v>
      </c>
      <c r="B2263" s="2" t="s">
        <v>2342</v>
      </c>
      <c r="C2263" s="2" t="s">
        <v>71</v>
      </c>
      <c r="D2263" s="3">
        <v>94</v>
      </c>
      <c r="E2263" s="4" t="s">
        <v>72</v>
      </c>
      <c r="F2263" s="5">
        <v>2852.73</v>
      </c>
      <c r="G2263" s="4" t="s">
        <v>73</v>
      </c>
      <c r="H2263" s="6">
        <f t="shared" si="35"/>
        <v>268156.62</v>
      </c>
    </row>
    <row r="2264" spans="1:8" x14ac:dyDescent="0.2">
      <c r="A2264" s="2" t="s">
        <v>2344</v>
      </c>
      <c r="B2264" s="2" t="s">
        <v>2342</v>
      </c>
      <c r="C2264" s="2" t="s">
        <v>50</v>
      </c>
      <c r="D2264" s="3">
        <v>4939</v>
      </c>
      <c r="E2264" s="4" t="s">
        <v>20</v>
      </c>
      <c r="F2264" s="5">
        <v>0.82</v>
      </c>
      <c r="G2264" s="4" t="s">
        <v>21</v>
      </c>
      <c r="H2264" s="6">
        <f t="shared" si="35"/>
        <v>4049.9799999999996</v>
      </c>
    </row>
    <row r="2265" spans="1:8" x14ac:dyDescent="0.2">
      <c r="A2265" s="2" t="s">
        <v>2345</v>
      </c>
      <c r="B2265" s="2" t="s">
        <v>2342</v>
      </c>
      <c r="C2265" s="2" t="s">
        <v>44</v>
      </c>
      <c r="D2265" s="3">
        <v>1523</v>
      </c>
      <c r="E2265" s="4" t="s">
        <v>24</v>
      </c>
      <c r="F2265" s="5">
        <v>1.37</v>
      </c>
      <c r="G2265" s="4" t="s">
        <v>25</v>
      </c>
      <c r="H2265" s="6">
        <f t="shared" si="35"/>
        <v>2086.5100000000002</v>
      </c>
    </row>
    <row r="2266" spans="1:8" x14ac:dyDescent="0.2">
      <c r="A2266" s="2" t="s">
        <v>2346</v>
      </c>
      <c r="B2266" s="2" t="s">
        <v>2342</v>
      </c>
      <c r="C2266" s="2" t="s">
        <v>33</v>
      </c>
      <c r="D2266" s="3">
        <v>753</v>
      </c>
      <c r="E2266" s="4" t="s">
        <v>34</v>
      </c>
      <c r="F2266" s="5">
        <v>3.86</v>
      </c>
      <c r="G2266" s="4" t="s">
        <v>35</v>
      </c>
      <c r="H2266" s="6">
        <f t="shared" si="35"/>
        <v>2906.58</v>
      </c>
    </row>
    <row r="2267" spans="1:8" x14ac:dyDescent="0.2">
      <c r="A2267" s="2" t="s">
        <v>2347</v>
      </c>
      <c r="B2267" s="2" t="s">
        <v>2342</v>
      </c>
      <c r="C2267" s="2" t="s">
        <v>86</v>
      </c>
      <c r="D2267" s="3">
        <v>4759</v>
      </c>
      <c r="E2267" s="4" t="s">
        <v>72</v>
      </c>
      <c r="F2267" s="5">
        <v>8286.9699999999993</v>
      </c>
      <c r="G2267" s="4" t="s">
        <v>73</v>
      </c>
      <c r="H2267" s="6">
        <f t="shared" si="35"/>
        <v>39437690.229999997</v>
      </c>
    </row>
    <row r="2268" spans="1:8" x14ac:dyDescent="0.2">
      <c r="A2268" s="2" t="s">
        <v>2348</v>
      </c>
      <c r="B2268" s="2" t="s">
        <v>2342</v>
      </c>
      <c r="C2268" s="2" t="s">
        <v>118</v>
      </c>
      <c r="D2268" s="3">
        <v>4111</v>
      </c>
      <c r="E2268" s="4" t="s">
        <v>24</v>
      </c>
      <c r="F2268" s="5">
        <v>0.95</v>
      </c>
      <c r="G2268" s="4" t="s">
        <v>25</v>
      </c>
      <c r="H2268" s="6">
        <f t="shared" si="35"/>
        <v>3905.45</v>
      </c>
    </row>
    <row r="2269" spans="1:8" x14ac:dyDescent="0.2">
      <c r="A2269" s="2" t="s">
        <v>2349</v>
      </c>
      <c r="B2269" s="2" t="s">
        <v>2342</v>
      </c>
      <c r="C2269" s="2" t="s">
        <v>147</v>
      </c>
      <c r="D2269" s="3">
        <v>1991</v>
      </c>
      <c r="E2269" s="4" t="s">
        <v>53</v>
      </c>
      <c r="F2269" s="5">
        <v>12.04</v>
      </c>
      <c r="G2269" s="4" t="s">
        <v>54</v>
      </c>
      <c r="H2269" s="6">
        <f t="shared" si="35"/>
        <v>23971.64</v>
      </c>
    </row>
    <row r="2270" spans="1:8" x14ac:dyDescent="0.2">
      <c r="A2270" s="2" t="s">
        <v>2350</v>
      </c>
      <c r="B2270" s="2" t="s">
        <v>2342</v>
      </c>
      <c r="C2270" s="2" t="s">
        <v>27</v>
      </c>
      <c r="D2270" s="3">
        <v>821</v>
      </c>
      <c r="E2270" s="4" t="s">
        <v>20</v>
      </c>
      <c r="F2270" s="5">
        <v>2.1800000000000002</v>
      </c>
      <c r="G2270" s="4" t="s">
        <v>21</v>
      </c>
      <c r="H2270" s="6">
        <f t="shared" si="35"/>
        <v>1789.7800000000002</v>
      </c>
    </row>
    <row r="2271" spans="1:8" x14ac:dyDescent="0.2">
      <c r="A2271" s="2" t="s">
        <v>2351</v>
      </c>
      <c r="B2271" s="2" t="s">
        <v>2342</v>
      </c>
      <c r="C2271" s="2" t="s">
        <v>33</v>
      </c>
      <c r="D2271" s="3">
        <v>4342</v>
      </c>
      <c r="E2271" s="4" t="s">
        <v>34</v>
      </c>
      <c r="F2271" s="5">
        <v>4.04</v>
      </c>
      <c r="G2271" s="4" t="s">
        <v>35</v>
      </c>
      <c r="H2271" s="6">
        <f t="shared" si="35"/>
        <v>17541.68</v>
      </c>
    </row>
    <row r="2272" spans="1:8" x14ac:dyDescent="0.2">
      <c r="A2272" s="2" t="s">
        <v>2352</v>
      </c>
      <c r="B2272" s="2" t="s">
        <v>2342</v>
      </c>
      <c r="C2272" s="2" t="s">
        <v>44</v>
      </c>
      <c r="D2272" s="3">
        <v>2318</v>
      </c>
      <c r="E2272" s="4" t="s">
        <v>24</v>
      </c>
      <c r="F2272" s="5">
        <v>1.02</v>
      </c>
      <c r="G2272" s="4" t="s">
        <v>25</v>
      </c>
      <c r="H2272" s="6">
        <f t="shared" si="35"/>
        <v>2364.36</v>
      </c>
    </row>
    <row r="2273" spans="1:8" x14ac:dyDescent="0.2">
      <c r="A2273" s="2" t="s">
        <v>2353</v>
      </c>
      <c r="B2273" s="2" t="s">
        <v>2342</v>
      </c>
      <c r="C2273" s="2" t="s">
        <v>29</v>
      </c>
      <c r="D2273" s="3">
        <v>45</v>
      </c>
      <c r="E2273" s="4" t="s">
        <v>30</v>
      </c>
      <c r="F2273" s="5">
        <v>2.17</v>
      </c>
      <c r="G2273" s="4" t="s">
        <v>31</v>
      </c>
      <c r="H2273" s="6">
        <f t="shared" si="35"/>
        <v>97.649999999999991</v>
      </c>
    </row>
    <row r="2274" spans="1:8" x14ac:dyDescent="0.2">
      <c r="A2274" s="2" t="s">
        <v>2354</v>
      </c>
      <c r="B2274" s="2" t="s">
        <v>2342</v>
      </c>
      <c r="C2274" s="2" t="s">
        <v>50</v>
      </c>
      <c r="D2274" s="3">
        <v>1763</v>
      </c>
      <c r="E2274" s="4" t="s">
        <v>20</v>
      </c>
      <c r="F2274" s="5">
        <v>1.25</v>
      </c>
      <c r="G2274" s="4" t="s">
        <v>21</v>
      </c>
      <c r="H2274" s="6">
        <f t="shared" si="35"/>
        <v>2203.75</v>
      </c>
    </row>
    <row r="2275" spans="1:8" x14ac:dyDescent="0.2">
      <c r="A2275" s="2" t="s">
        <v>2355</v>
      </c>
      <c r="B2275" s="2" t="s">
        <v>2342</v>
      </c>
      <c r="C2275" s="2" t="s">
        <v>48</v>
      </c>
      <c r="D2275" s="3">
        <v>3012</v>
      </c>
      <c r="E2275" s="4" t="s">
        <v>24</v>
      </c>
      <c r="F2275" s="5">
        <v>0.15</v>
      </c>
      <c r="G2275" s="4" t="s">
        <v>25</v>
      </c>
      <c r="H2275" s="6">
        <f t="shared" si="35"/>
        <v>451.8</v>
      </c>
    </row>
    <row r="2276" spans="1:8" x14ac:dyDescent="0.2">
      <c r="A2276" s="2" t="s">
        <v>2356</v>
      </c>
      <c r="B2276" s="2" t="s">
        <v>2342</v>
      </c>
      <c r="C2276" s="2" t="s">
        <v>118</v>
      </c>
      <c r="D2276" s="3">
        <v>3611</v>
      </c>
      <c r="E2276" s="4" t="s">
        <v>24</v>
      </c>
      <c r="F2276" s="5">
        <v>0.87</v>
      </c>
      <c r="G2276" s="4" t="s">
        <v>25</v>
      </c>
      <c r="H2276" s="6">
        <f t="shared" si="35"/>
        <v>3141.57</v>
      </c>
    </row>
    <row r="2277" spans="1:8" x14ac:dyDescent="0.2">
      <c r="A2277" s="2" t="s">
        <v>2357</v>
      </c>
      <c r="B2277" s="2" t="s">
        <v>2342</v>
      </c>
      <c r="C2277" s="2" t="s">
        <v>50</v>
      </c>
      <c r="D2277" s="3">
        <v>1491</v>
      </c>
      <c r="E2277" s="4" t="s">
        <v>20</v>
      </c>
      <c r="F2277" s="5">
        <v>1.2</v>
      </c>
      <c r="G2277" s="4" t="s">
        <v>21</v>
      </c>
      <c r="H2277" s="6">
        <f t="shared" si="35"/>
        <v>1789.2</v>
      </c>
    </row>
    <row r="2278" spans="1:8" x14ac:dyDescent="0.2">
      <c r="A2278" s="2" t="s">
        <v>2358</v>
      </c>
      <c r="B2278" s="2" t="s">
        <v>2342</v>
      </c>
      <c r="C2278" s="2" t="s">
        <v>67</v>
      </c>
      <c r="D2278" s="3">
        <v>3484</v>
      </c>
      <c r="E2278" s="4" t="s">
        <v>24</v>
      </c>
      <c r="F2278" s="5">
        <v>0.36</v>
      </c>
      <c r="G2278" s="4" t="s">
        <v>25</v>
      </c>
      <c r="H2278" s="6">
        <f t="shared" si="35"/>
        <v>1254.24</v>
      </c>
    </row>
    <row r="2279" spans="1:8" x14ac:dyDescent="0.2">
      <c r="A2279" s="2" t="s">
        <v>2359</v>
      </c>
      <c r="B2279" s="2" t="s">
        <v>2342</v>
      </c>
      <c r="C2279" s="2" t="s">
        <v>42</v>
      </c>
      <c r="D2279" s="3">
        <v>3348</v>
      </c>
      <c r="E2279" s="4" t="s">
        <v>24</v>
      </c>
      <c r="F2279" s="5">
        <v>3.84</v>
      </c>
      <c r="G2279" s="4" t="s">
        <v>25</v>
      </c>
      <c r="H2279" s="6">
        <f t="shared" si="35"/>
        <v>12856.32</v>
      </c>
    </row>
    <row r="2280" spans="1:8" x14ac:dyDescent="0.2">
      <c r="A2280" s="2" t="s">
        <v>2360</v>
      </c>
      <c r="B2280" s="2" t="s">
        <v>2342</v>
      </c>
      <c r="C2280" s="2" t="s">
        <v>57</v>
      </c>
      <c r="D2280" s="3">
        <v>1022</v>
      </c>
      <c r="E2280" s="4" t="s">
        <v>20</v>
      </c>
      <c r="F2280" s="5">
        <v>0.79</v>
      </c>
      <c r="G2280" s="4" t="s">
        <v>21</v>
      </c>
      <c r="H2280" s="6">
        <f t="shared" si="35"/>
        <v>807.38</v>
      </c>
    </row>
    <row r="2281" spans="1:8" x14ac:dyDescent="0.2">
      <c r="A2281" s="2" t="s">
        <v>2361</v>
      </c>
      <c r="B2281" s="2" t="s">
        <v>2342</v>
      </c>
      <c r="C2281" s="2" t="s">
        <v>78</v>
      </c>
      <c r="D2281" s="3">
        <v>1123</v>
      </c>
      <c r="E2281" s="4" t="s">
        <v>38</v>
      </c>
      <c r="F2281" s="5">
        <v>2.34</v>
      </c>
      <c r="G2281" s="4" t="s">
        <v>39</v>
      </c>
      <c r="H2281" s="6">
        <f t="shared" si="35"/>
        <v>2627.8199999999997</v>
      </c>
    </row>
    <row r="2282" spans="1:8" x14ac:dyDescent="0.2">
      <c r="A2282" s="2" t="s">
        <v>2362</v>
      </c>
      <c r="B2282" s="2" t="s">
        <v>2342</v>
      </c>
      <c r="C2282" s="2" t="s">
        <v>19</v>
      </c>
      <c r="D2282" s="3">
        <v>2371</v>
      </c>
      <c r="E2282" s="4" t="s">
        <v>20</v>
      </c>
      <c r="F2282" s="5">
        <v>1.43</v>
      </c>
      <c r="G2282" s="4" t="s">
        <v>21</v>
      </c>
      <c r="H2282" s="6">
        <f t="shared" si="35"/>
        <v>3390.5299999999997</v>
      </c>
    </row>
    <row r="2283" spans="1:8" x14ac:dyDescent="0.2">
      <c r="A2283" s="2" t="s">
        <v>2363</v>
      </c>
      <c r="B2283" s="2" t="s">
        <v>2342</v>
      </c>
      <c r="C2283" s="2" t="s">
        <v>37</v>
      </c>
      <c r="D2283" s="3">
        <v>683</v>
      </c>
      <c r="E2283" s="4" t="s">
        <v>38</v>
      </c>
      <c r="F2283" s="5">
        <v>2.98</v>
      </c>
      <c r="G2283" s="4" t="s">
        <v>39</v>
      </c>
      <c r="H2283" s="6">
        <f t="shared" si="35"/>
        <v>2035.34</v>
      </c>
    </row>
    <row r="2284" spans="1:8" x14ac:dyDescent="0.2">
      <c r="A2284" s="2" t="s">
        <v>2364</v>
      </c>
      <c r="B2284" s="2" t="s">
        <v>2342</v>
      </c>
      <c r="C2284" s="2" t="s">
        <v>50</v>
      </c>
      <c r="D2284" s="3">
        <v>3162</v>
      </c>
      <c r="E2284" s="4" t="s">
        <v>20</v>
      </c>
      <c r="F2284" s="5">
        <v>0.87</v>
      </c>
      <c r="G2284" s="4" t="s">
        <v>21</v>
      </c>
      <c r="H2284" s="6">
        <f t="shared" si="35"/>
        <v>2750.94</v>
      </c>
    </row>
    <row r="2285" spans="1:8" x14ac:dyDescent="0.2">
      <c r="A2285" s="2" t="s">
        <v>2365</v>
      </c>
      <c r="B2285" s="2" t="s">
        <v>2342</v>
      </c>
      <c r="C2285" s="2" t="s">
        <v>147</v>
      </c>
      <c r="D2285" s="3">
        <v>2565</v>
      </c>
      <c r="E2285" s="4" t="s">
        <v>53</v>
      </c>
      <c r="F2285" s="5">
        <v>13.5</v>
      </c>
      <c r="G2285" s="4" t="s">
        <v>54</v>
      </c>
      <c r="H2285" s="6">
        <f t="shared" si="35"/>
        <v>34627.5</v>
      </c>
    </row>
    <row r="2286" spans="1:8" x14ac:dyDescent="0.2">
      <c r="A2286" s="2" t="s">
        <v>2366</v>
      </c>
      <c r="B2286" s="2" t="s">
        <v>2342</v>
      </c>
      <c r="C2286" s="2" t="s">
        <v>23</v>
      </c>
      <c r="D2286" s="3">
        <v>1860</v>
      </c>
      <c r="E2286" s="4" t="s">
        <v>24</v>
      </c>
      <c r="F2286" s="5">
        <v>15.32</v>
      </c>
      <c r="G2286" s="4" t="s">
        <v>25</v>
      </c>
      <c r="H2286" s="6">
        <f t="shared" si="35"/>
        <v>28495.200000000001</v>
      </c>
    </row>
    <row r="2287" spans="1:8" x14ac:dyDescent="0.2">
      <c r="A2287" s="2" t="s">
        <v>2367</v>
      </c>
      <c r="B2287" s="2" t="s">
        <v>2342</v>
      </c>
      <c r="C2287" s="2" t="s">
        <v>71</v>
      </c>
      <c r="D2287" s="3">
        <v>3515</v>
      </c>
      <c r="E2287" s="4" t="s">
        <v>72</v>
      </c>
      <c r="F2287" s="5">
        <v>2513.27</v>
      </c>
      <c r="G2287" s="4" t="s">
        <v>73</v>
      </c>
      <c r="H2287" s="6">
        <f t="shared" si="35"/>
        <v>8834144.0500000007</v>
      </c>
    </row>
    <row r="2288" spans="1:8" x14ac:dyDescent="0.2">
      <c r="A2288" s="2" t="s">
        <v>2368</v>
      </c>
      <c r="B2288" s="2" t="s">
        <v>2342</v>
      </c>
      <c r="C2288" s="2" t="s">
        <v>27</v>
      </c>
      <c r="D2288" s="3">
        <v>3906</v>
      </c>
      <c r="E2288" s="4" t="s">
        <v>20</v>
      </c>
      <c r="F2288" s="5">
        <v>2.33</v>
      </c>
      <c r="G2288" s="4" t="s">
        <v>21</v>
      </c>
      <c r="H2288" s="6">
        <f t="shared" si="35"/>
        <v>9100.98</v>
      </c>
    </row>
    <row r="2289" spans="1:8" x14ac:dyDescent="0.2">
      <c r="A2289" s="2" t="s">
        <v>2369</v>
      </c>
      <c r="B2289" s="2" t="s">
        <v>2342</v>
      </c>
      <c r="C2289" s="2" t="s">
        <v>19</v>
      </c>
      <c r="D2289" s="3">
        <v>1478</v>
      </c>
      <c r="E2289" s="4" t="s">
        <v>20</v>
      </c>
      <c r="F2289" s="5">
        <v>1.1100000000000001</v>
      </c>
      <c r="G2289" s="4" t="s">
        <v>21</v>
      </c>
      <c r="H2289" s="6">
        <f t="shared" si="35"/>
        <v>1640.5800000000002</v>
      </c>
    </row>
    <row r="2290" spans="1:8" x14ac:dyDescent="0.2">
      <c r="A2290" s="2" t="s">
        <v>2370</v>
      </c>
      <c r="B2290" s="2" t="s">
        <v>2342</v>
      </c>
      <c r="C2290" s="2" t="s">
        <v>48</v>
      </c>
      <c r="D2290" s="3">
        <v>871</v>
      </c>
      <c r="E2290" s="4" t="s">
        <v>24</v>
      </c>
      <c r="F2290" s="5">
        <v>0.11</v>
      </c>
      <c r="G2290" s="4" t="s">
        <v>25</v>
      </c>
      <c r="H2290" s="6">
        <f t="shared" si="35"/>
        <v>95.81</v>
      </c>
    </row>
    <row r="2291" spans="1:8" x14ac:dyDescent="0.2">
      <c r="A2291" s="2" t="s">
        <v>2371</v>
      </c>
      <c r="B2291" s="2" t="s">
        <v>2342</v>
      </c>
      <c r="C2291" s="2" t="s">
        <v>78</v>
      </c>
      <c r="D2291" s="3">
        <v>706</v>
      </c>
      <c r="E2291" s="4" t="s">
        <v>38</v>
      </c>
      <c r="F2291" s="5">
        <v>1.7</v>
      </c>
      <c r="G2291" s="4" t="s">
        <v>39</v>
      </c>
      <c r="H2291" s="6">
        <f t="shared" si="35"/>
        <v>1200.2</v>
      </c>
    </row>
    <row r="2292" spans="1:8" x14ac:dyDescent="0.2">
      <c r="A2292" s="2" t="s">
        <v>2372</v>
      </c>
      <c r="B2292" s="2" t="s">
        <v>2342</v>
      </c>
      <c r="C2292" s="2" t="s">
        <v>67</v>
      </c>
      <c r="D2292" s="3">
        <v>3291</v>
      </c>
      <c r="E2292" s="4" t="s">
        <v>24</v>
      </c>
      <c r="F2292" s="5">
        <v>0.51</v>
      </c>
      <c r="G2292" s="4" t="s">
        <v>25</v>
      </c>
      <c r="H2292" s="6">
        <f t="shared" si="35"/>
        <v>1678.41</v>
      </c>
    </row>
    <row r="2293" spans="1:8" x14ac:dyDescent="0.2">
      <c r="A2293" s="2" t="s">
        <v>2373</v>
      </c>
      <c r="B2293" s="2" t="s">
        <v>2342</v>
      </c>
      <c r="C2293" s="2" t="s">
        <v>50</v>
      </c>
      <c r="D2293" s="3">
        <v>1392</v>
      </c>
      <c r="E2293" s="4" t="s">
        <v>20</v>
      </c>
      <c r="F2293" s="5">
        <v>0.74</v>
      </c>
      <c r="G2293" s="4" t="s">
        <v>21</v>
      </c>
      <c r="H2293" s="6">
        <f t="shared" si="35"/>
        <v>1030.08</v>
      </c>
    </row>
    <row r="2294" spans="1:8" x14ac:dyDescent="0.2">
      <c r="A2294" s="2" t="s">
        <v>2374</v>
      </c>
      <c r="B2294" s="2" t="s">
        <v>2342</v>
      </c>
      <c r="C2294" s="2" t="s">
        <v>44</v>
      </c>
      <c r="D2294" s="3">
        <v>2784</v>
      </c>
      <c r="E2294" s="4" t="s">
        <v>24</v>
      </c>
      <c r="F2294" s="5">
        <v>1.04</v>
      </c>
      <c r="G2294" s="4" t="s">
        <v>25</v>
      </c>
      <c r="H2294" s="6">
        <f t="shared" si="35"/>
        <v>2895.36</v>
      </c>
    </row>
    <row r="2295" spans="1:8" x14ac:dyDescent="0.2">
      <c r="A2295" s="2" t="s">
        <v>2375</v>
      </c>
      <c r="B2295" s="2" t="s">
        <v>2342</v>
      </c>
      <c r="C2295" s="2" t="s">
        <v>67</v>
      </c>
      <c r="D2295" s="3">
        <v>1015</v>
      </c>
      <c r="E2295" s="4" t="s">
        <v>24</v>
      </c>
      <c r="F2295" s="5">
        <v>0.37</v>
      </c>
      <c r="G2295" s="4" t="s">
        <v>25</v>
      </c>
      <c r="H2295" s="6">
        <f t="shared" si="35"/>
        <v>375.55</v>
      </c>
    </row>
    <row r="2296" spans="1:8" x14ac:dyDescent="0.2">
      <c r="A2296" s="2" t="s">
        <v>2376</v>
      </c>
      <c r="B2296" s="2" t="s">
        <v>2342</v>
      </c>
      <c r="C2296" s="2" t="s">
        <v>52</v>
      </c>
      <c r="D2296" s="3">
        <v>4098</v>
      </c>
      <c r="E2296" s="4" t="s">
        <v>53</v>
      </c>
      <c r="F2296" s="5">
        <v>10.39</v>
      </c>
      <c r="G2296" s="4" t="s">
        <v>54</v>
      </c>
      <c r="H2296" s="6">
        <f t="shared" si="35"/>
        <v>42578.22</v>
      </c>
    </row>
    <row r="2297" spans="1:8" x14ac:dyDescent="0.2">
      <c r="A2297" s="2" t="s">
        <v>2377</v>
      </c>
      <c r="B2297" s="2" t="s">
        <v>2342</v>
      </c>
      <c r="C2297" s="2" t="s">
        <v>46</v>
      </c>
      <c r="D2297" s="3">
        <v>4873</v>
      </c>
      <c r="E2297" s="4" t="s">
        <v>20</v>
      </c>
      <c r="F2297" s="5">
        <v>2.5499999999999998</v>
      </c>
      <c r="G2297" s="4" t="s">
        <v>21</v>
      </c>
      <c r="H2297" s="6">
        <f t="shared" si="35"/>
        <v>12426.15</v>
      </c>
    </row>
    <row r="2298" spans="1:8" x14ac:dyDescent="0.2">
      <c r="A2298" s="2" t="s">
        <v>2378</v>
      </c>
      <c r="B2298" s="2" t="s">
        <v>2342</v>
      </c>
      <c r="C2298" s="2" t="s">
        <v>67</v>
      </c>
      <c r="D2298" s="3">
        <v>2927</v>
      </c>
      <c r="E2298" s="4" t="s">
        <v>24</v>
      </c>
      <c r="F2298" s="5">
        <v>0.44</v>
      </c>
      <c r="G2298" s="4" t="s">
        <v>25</v>
      </c>
      <c r="H2298" s="6">
        <f t="shared" si="35"/>
        <v>1287.8800000000001</v>
      </c>
    </row>
    <row r="2299" spans="1:8" x14ac:dyDescent="0.2">
      <c r="A2299" s="2" t="s">
        <v>2379</v>
      </c>
      <c r="B2299" s="2" t="s">
        <v>2342</v>
      </c>
      <c r="C2299" s="2" t="s">
        <v>147</v>
      </c>
      <c r="D2299" s="3">
        <v>3323</v>
      </c>
      <c r="E2299" s="4" t="s">
        <v>53</v>
      </c>
      <c r="F2299" s="5">
        <v>15.9</v>
      </c>
      <c r="G2299" s="4" t="s">
        <v>54</v>
      </c>
      <c r="H2299" s="6">
        <f t="shared" si="35"/>
        <v>52835.700000000004</v>
      </c>
    </row>
    <row r="2300" spans="1:8" x14ac:dyDescent="0.2">
      <c r="A2300" s="2" t="s">
        <v>2380</v>
      </c>
      <c r="B2300" s="2" t="s">
        <v>2342</v>
      </c>
      <c r="C2300" s="2" t="s">
        <v>78</v>
      </c>
      <c r="D2300" s="3">
        <v>2294</v>
      </c>
      <c r="E2300" s="4" t="s">
        <v>38</v>
      </c>
      <c r="F2300" s="5">
        <v>1.75</v>
      </c>
      <c r="G2300" s="4" t="s">
        <v>39</v>
      </c>
      <c r="H2300" s="6">
        <f t="shared" si="35"/>
        <v>4014.5</v>
      </c>
    </row>
    <row r="2301" spans="1:8" x14ac:dyDescent="0.2">
      <c r="A2301" s="2" t="s">
        <v>2381</v>
      </c>
      <c r="B2301" s="2" t="s">
        <v>2342</v>
      </c>
      <c r="C2301" s="2" t="s">
        <v>23</v>
      </c>
      <c r="D2301" s="3">
        <v>895</v>
      </c>
      <c r="E2301" s="4" t="s">
        <v>24</v>
      </c>
      <c r="F2301" s="5">
        <v>12.73</v>
      </c>
      <c r="G2301" s="4" t="s">
        <v>25</v>
      </c>
      <c r="H2301" s="6">
        <f t="shared" si="35"/>
        <v>11393.35</v>
      </c>
    </row>
    <row r="2302" spans="1:8" x14ac:dyDescent="0.2">
      <c r="A2302" s="2" t="s">
        <v>2382</v>
      </c>
      <c r="B2302" s="2" t="s">
        <v>2342</v>
      </c>
      <c r="C2302" s="2" t="s">
        <v>48</v>
      </c>
      <c r="D2302" s="3">
        <v>4083</v>
      </c>
      <c r="E2302" s="4" t="s">
        <v>24</v>
      </c>
      <c r="F2302" s="5">
        <v>0.08</v>
      </c>
      <c r="G2302" s="4" t="s">
        <v>25</v>
      </c>
      <c r="H2302" s="6">
        <f t="shared" si="35"/>
        <v>326.64</v>
      </c>
    </row>
    <row r="2303" spans="1:8" x14ac:dyDescent="0.2">
      <c r="A2303" s="2" t="s">
        <v>2383</v>
      </c>
      <c r="B2303" s="2" t="s">
        <v>2342</v>
      </c>
      <c r="C2303" s="2" t="s">
        <v>89</v>
      </c>
      <c r="D2303" s="3">
        <v>253</v>
      </c>
      <c r="E2303" s="4" t="s">
        <v>30</v>
      </c>
      <c r="F2303" s="5">
        <v>1.92</v>
      </c>
      <c r="G2303" s="4" t="s">
        <v>31</v>
      </c>
      <c r="H2303" s="6">
        <f t="shared" si="35"/>
        <v>485.76</v>
      </c>
    </row>
    <row r="2304" spans="1:8" x14ac:dyDescent="0.2">
      <c r="A2304" s="2" t="s">
        <v>2384</v>
      </c>
      <c r="B2304" s="2" t="s">
        <v>2342</v>
      </c>
      <c r="C2304" s="2" t="s">
        <v>37</v>
      </c>
      <c r="D2304" s="3">
        <v>568</v>
      </c>
      <c r="E2304" s="4" t="s">
        <v>38</v>
      </c>
      <c r="F2304" s="5">
        <v>3.49</v>
      </c>
      <c r="G2304" s="4" t="s">
        <v>39</v>
      </c>
      <c r="H2304" s="6">
        <f t="shared" si="35"/>
        <v>1982.3200000000002</v>
      </c>
    </row>
    <row r="2305" spans="1:8" x14ac:dyDescent="0.2">
      <c r="A2305" s="2" t="s">
        <v>2385</v>
      </c>
      <c r="B2305" s="2" t="s">
        <v>2342</v>
      </c>
      <c r="C2305" s="2" t="s">
        <v>33</v>
      </c>
      <c r="D2305" s="3">
        <v>1477</v>
      </c>
      <c r="E2305" s="4" t="s">
        <v>34</v>
      </c>
      <c r="F2305" s="5">
        <v>4.46</v>
      </c>
      <c r="G2305" s="4" t="s">
        <v>35</v>
      </c>
      <c r="H2305" s="6">
        <f t="shared" si="35"/>
        <v>6587.42</v>
      </c>
    </row>
    <row r="2306" spans="1:8" x14ac:dyDescent="0.2">
      <c r="A2306" s="2" t="s">
        <v>2386</v>
      </c>
      <c r="B2306" s="2" t="s">
        <v>2342</v>
      </c>
      <c r="C2306" s="2" t="s">
        <v>57</v>
      </c>
      <c r="D2306" s="3">
        <v>1261</v>
      </c>
      <c r="E2306" s="4" t="s">
        <v>20</v>
      </c>
      <c r="F2306" s="5">
        <v>0.72</v>
      </c>
      <c r="G2306" s="4" t="s">
        <v>21</v>
      </c>
      <c r="H2306" s="6">
        <f t="shared" ref="H2306:H2369" si="36">D2306*F2306</f>
        <v>907.92</v>
      </c>
    </row>
    <row r="2307" spans="1:8" x14ac:dyDescent="0.2">
      <c r="A2307" s="2" t="s">
        <v>2387</v>
      </c>
      <c r="B2307" s="2" t="s">
        <v>2342</v>
      </c>
      <c r="C2307" s="2" t="s">
        <v>147</v>
      </c>
      <c r="D2307" s="3">
        <v>799</v>
      </c>
      <c r="E2307" s="4" t="s">
        <v>53</v>
      </c>
      <c r="F2307" s="5">
        <v>14.08</v>
      </c>
      <c r="G2307" s="4" t="s">
        <v>54</v>
      </c>
      <c r="H2307" s="6">
        <f t="shared" si="36"/>
        <v>11249.92</v>
      </c>
    </row>
    <row r="2308" spans="1:8" x14ac:dyDescent="0.2">
      <c r="A2308" s="2" t="s">
        <v>2388</v>
      </c>
      <c r="B2308" s="2" t="s">
        <v>2342</v>
      </c>
      <c r="C2308" s="2" t="s">
        <v>78</v>
      </c>
      <c r="D2308" s="3">
        <v>4042</v>
      </c>
      <c r="E2308" s="4" t="s">
        <v>38</v>
      </c>
      <c r="F2308" s="5">
        <v>2.85</v>
      </c>
      <c r="G2308" s="4" t="s">
        <v>39</v>
      </c>
      <c r="H2308" s="6">
        <f t="shared" si="36"/>
        <v>11519.7</v>
      </c>
    </row>
    <row r="2309" spans="1:8" x14ac:dyDescent="0.2">
      <c r="A2309" s="2" t="s">
        <v>2389</v>
      </c>
      <c r="B2309" s="2" t="s">
        <v>2342</v>
      </c>
      <c r="C2309" s="2" t="s">
        <v>44</v>
      </c>
      <c r="D2309" s="3">
        <v>2414</v>
      </c>
      <c r="E2309" s="4" t="s">
        <v>24</v>
      </c>
      <c r="F2309" s="5">
        <v>1.36</v>
      </c>
      <c r="G2309" s="4" t="s">
        <v>25</v>
      </c>
      <c r="H2309" s="6">
        <f t="shared" si="36"/>
        <v>3283.0400000000004</v>
      </c>
    </row>
    <row r="2310" spans="1:8" x14ac:dyDescent="0.2">
      <c r="A2310" s="2" t="s">
        <v>2390</v>
      </c>
      <c r="B2310" s="2" t="s">
        <v>2342</v>
      </c>
      <c r="C2310" s="2" t="s">
        <v>48</v>
      </c>
      <c r="D2310" s="3">
        <v>4145</v>
      </c>
      <c r="E2310" s="4" t="s">
        <v>24</v>
      </c>
      <c r="F2310" s="5">
        <v>0.09</v>
      </c>
      <c r="G2310" s="4" t="s">
        <v>25</v>
      </c>
      <c r="H2310" s="6">
        <f t="shared" si="36"/>
        <v>373.05</v>
      </c>
    </row>
    <row r="2311" spans="1:8" x14ac:dyDescent="0.2">
      <c r="A2311" s="2" t="s">
        <v>2391</v>
      </c>
      <c r="B2311" s="2" t="s">
        <v>2342</v>
      </c>
      <c r="C2311" s="2" t="s">
        <v>57</v>
      </c>
      <c r="D2311" s="3">
        <v>4438</v>
      </c>
      <c r="E2311" s="4" t="s">
        <v>20</v>
      </c>
      <c r="F2311" s="5">
        <v>0.82</v>
      </c>
      <c r="G2311" s="4" t="s">
        <v>21</v>
      </c>
      <c r="H2311" s="6">
        <f t="shared" si="36"/>
        <v>3639.16</v>
      </c>
    </row>
    <row r="2312" spans="1:8" x14ac:dyDescent="0.2">
      <c r="A2312" s="2" t="s">
        <v>2392</v>
      </c>
      <c r="B2312" s="2" t="s">
        <v>2342</v>
      </c>
      <c r="C2312" s="2" t="s">
        <v>37</v>
      </c>
      <c r="D2312" s="3">
        <v>3535</v>
      </c>
      <c r="E2312" s="4" t="s">
        <v>38</v>
      </c>
      <c r="F2312" s="5">
        <v>4.6399999999999997</v>
      </c>
      <c r="G2312" s="4" t="s">
        <v>39</v>
      </c>
      <c r="H2312" s="6">
        <f t="shared" si="36"/>
        <v>16402.399999999998</v>
      </c>
    </row>
    <row r="2313" spans="1:8" x14ac:dyDescent="0.2">
      <c r="A2313" s="2" t="s">
        <v>2393</v>
      </c>
      <c r="B2313" s="2" t="s">
        <v>2342</v>
      </c>
      <c r="C2313" s="2" t="s">
        <v>50</v>
      </c>
      <c r="D2313" s="3">
        <v>3152</v>
      </c>
      <c r="E2313" s="4" t="s">
        <v>20</v>
      </c>
      <c r="F2313" s="5">
        <v>0.97</v>
      </c>
      <c r="G2313" s="4" t="s">
        <v>21</v>
      </c>
      <c r="H2313" s="6">
        <f t="shared" si="36"/>
        <v>3057.44</v>
      </c>
    </row>
    <row r="2314" spans="1:8" x14ac:dyDescent="0.2">
      <c r="A2314" s="2" t="s">
        <v>2394</v>
      </c>
      <c r="B2314" s="2" t="s">
        <v>2342</v>
      </c>
      <c r="C2314" s="2" t="s">
        <v>67</v>
      </c>
      <c r="D2314" s="3">
        <v>3635</v>
      </c>
      <c r="E2314" s="4" t="s">
        <v>24</v>
      </c>
      <c r="F2314" s="5">
        <v>0.44</v>
      </c>
      <c r="G2314" s="4" t="s">
        <v>25</v>
      </c>
      <c r="H2314" s="6">
        <f t="shared" si="36"/>
        <v>1599.4</v>
      </c>
    </row>
    <row r="2315" spans="1:8" x14ac:dyDescent="0.2">
      <c r="A2315" s="2" t="s">
        <v>2395</v>
      </c>
      <c r="B2315" s="2" t="s">
        <v>2342</v>
      </c>
      <c r="C2315" s="2" t="s">
        <v>37</v>
      </c>
      <c r="D2315" s="3">
        <v>1458</v>
      </c>
      <c r="E2315" s="4" t="s">
        <v>38</v>
      </c>
      <c r="F2315" s="5">
        <v>3.67</v>
      </c>
      <c r="G2315" s="4" t="s">
        <v>39</v>
      </c>
      <c r="H2315" s="6">
        <f t="shared" si="36"/>
        <v>5350.86</v>
      </c>
    </row>
    <row r="2316" spans="1:8" x14ac:dyDescent="0.2">
      <c r="A2316" s="2" t="s">
        <v>2396</v>
      </c>
      <c r="B2316" s="2" t="s">
        <v>2342</v>
      </c>
      <c r="C2316" s="2" t="s">
        <v>71</v>
      </c>
      <c r="D2316" s="3">
        <v>1354</v>
      </c>
      <c r="E2316" s="4" t="s">
        <v>72</v>
      </c>
      <c r="F2316" s="5">
        <v>2694.89</v>
      </c>
      <c r="G2316" s="4" t="s">
        <v>73</v>
      </c>
      <c r="H2316" s="6">
        <f t="shared" si="36"/>
        <v>3648881.06</v>
      </c>
    </row>
    <row r="2317" spans="1:8" x14ac:dyDescent="0.2">
      <c r="A2317" s="2" t="s">
        <v>2397</v>
      </c>
      <c r="B2317" s="2" t="s">
        <v>2342</v>
      </c>
      <c r="C2317" s="2" t="s">
        <v>89</v>
      </c>
      <c r="D2317" s="3">
        <v>2569</v>
      </c>
      <c r="E2317" s="4" t="s">
        <v>30</v>
      </c>
      <c r="F2317" s="5">
        <v>2.66</v>
      </c>
      <c r="G2317" s="4" t="s">
        <v>31</v>
      </c>
      <c r="H2317" s="6">
        <f t="shared" si="36"/>
        <v>6833.54</v>
      </c>
    </row>
    <row r="2318" spans="1:8" x14ac:dyDescent="0.2">
      <c r="A2318" s="2" t="s">
        <v>2398</v>
      </c>
      <c r="B2318" s="2" t="s">
        <v>2342</v>
      </c>
      <c r="C2318" s="2" t="s">
        <v>48</v>
      </c>
      <c r="D2318" s="3">
        <v>906</v>
      </c>
      <c r="E2318" s="4" t="s">
        <v>24</v>
      </c>
      <c r="F2318" s="5">
        <v>0.14000000000000001</v>
      </c>
      <c r="G2318" s="4" t="s">
        <v>25</v>
      </c>
      <c r="H2318" s="6">
        <f t="shared" si="36"/>
        <v>126.84000000000002</v>
      </c>
    </row>
    <row r="2319" spans="1:8" x14ac:dyDescent="0.2">
      <c r="A2319" s="2" t="s">
        <v>2399</v>
      </c>
      <c r="B2319" s="2" t="s">
        <v>2342</v>
      </c>
      <c r="C2319" s="2" t="s">
        <v>48</v>
      </c>
      <c r="D2319" s="3">
        <v>4546</v>
      </c>
      <c r="E2319" s="4" t="s">
        <v>24</v>
      </c>
      <c r="F2319" s="5">
        <v>0.15</v>
      </c>
      <c r="G2319" s="4" t="s">
        <v>25</v>
      </c>
      <c r="H2319" s="6">
        <f t="shared" si="36"/>
        <v>681.9</v>
      </c>
    </row>
    <row r="2320" spans="1:8" x14ac:dyDescent="0.2">
      <c r="A2320" s="2" t="s">
        <v>2400</v>
      </c>
      <c r="B2320" s="2" t="s">
        <v>2342</v>
      </c>
      <c r="C2320" s="2" t="s">
        <v>46</v>
      </c>
      <c r="D2320" s="3">
        <v>3858</v>
      </c>
      <c r="E2320" s="4" t="s">
        <v>20</v>
      </c>
      <c r="F2320" s="5">
        <v>2.95</v>
      </c>
      <c r="G2320" s="4" t="s">
        <v>21</v>
      </c>
      <c r="H2320" s="6">
        <f t="shared" si="36"/>
        <v>11381.1</v>
      </c>
    </row>
    <row r="2321" spans="1:8" x14ac:dyDescent="0.2">
      <c r="A2321" s="2" t="s">
        <v>2401</v>
      </c>
      <c r="B2321" s="2" t="s">
        <v>2342</v>
      </c>
      <c r="C2321" s="2" t="s">
        <v>118</v>
      </c>
      <c r="D2321" s="3">
        <v>4160</v>
      </c>
      <c r="E2321" s="4" t="s">
        <v>24</v>
      </c>
      <c r="F2321" s="5">
        <v>0.44</v>
      </c>
      <c r="G2321" s="4" t="s">
        <v>25</v>
      </c>
      <c r="H2321" s="6">
        <f t="shared" si="36"/>
        <v>1830.4</v>
      </c>
    </row>
    <row r="2322" spans="1:8" x14ac:dyDescent="0.2">
      <c r="A2322" s="2" t="s">
        <v>2402</v>
      </c>
      <c r="B2322" s="2" t="s">
        <v>2342</v>
      </c>
      <c r="C2322" s="2" t="s">
        <v>86</v>
      </c>
      <c r="D2322" s="3">
        <v>4062</v>
      </c>
      <c r="E2322" s="4" t="s">
        <v>72</v>
      </c>
      <c r="F2322" s="5">
        <v>8627.4599999999991</v>
      </c>
      <c r="G2322" s="4" t="s">
        <v>73</v>
      </c>
      <c r="H2322" s="6">
        <f t="shared" si="36"/>
        <v>35044742.519999996</v>
      </c>
    </row>
    <row r="2323" spans="1:8" x14ac:dyDescent="0.2">
      <c r="A2323" s="2" t="s">
        <v>2403</v>
      </c>
      <c r="B2323" s="2" t="s">
        <v>2342</v>
      </c>
      <c r="C2323" s="2" t="s">
        <v>67</v>
      </c>
      <c r="D2323" s="3">
        <v>2899</v>
      </c>
      <c r="E2323" s="4" t="s">
        <v>24</v>
      </c>
      <c r="F2323" s="5">
        <v>0.53</v>
      </c>
      <c r="G2323" s="4" t="s">
        <v>25</v>
      </c>
      <c r="H2323" s="6">
        <f t="shared" si="36"/>
        <v>1536.47</v>
      </c>
    </row>
    <row r="2324" spans="1:8" x14ac:dyDescent="0.2">
      <c r="A2324" s="2" t="s">
        <v>2404</v>
      </c>
      <c r="B2324" s="2" t="s">
        <v>2342</v>
      </c>
      <c r="C2324" s="2" t="s">
        <v>71</v>
      </c>
      <c r="D2324" s="3">
        <v>2635</v>
      </c>
      <c r="E2324" s="4" t="s">
        <v>72</v>
      </c>
      <c r="F2324" s="5">
        <v>2436.85</v>
      </c>
      <c r="G2324" s="4" t="s">
        <v>73</v>
      </c>
      <c r="H2324" s="6">
        <f t="shared" si="36"/>
        <v>6421099.75</v>
      </c>
    </row>
    <row r="2325" spans="1:8" x14ac:dyDescent="0.2">
      <c r="A2325" s="2" t="s">
        <v>2405</v>
      </c>
      <c r="B2325" s="2" t="s">
        <v>2342</v>
      </c>
      <c r="C2325" s="2" t="s">
        <v>46</v>
      </c>
      <c r="D2325" s="3">
        <v>379</v>
      </c>
      <c r="E2325" s="4" t="s">
        <v>20</v>
      </c>
      <c r="F2325" s="5">
        <v>2.2599999999999998</v>
      </c>
      <c r="G2325" s="4" t="s">
        <v>21</v>
      </c>
      <c r="H2325" s="6">
        <f t="shared" si="36"/>
        <v>856.54</v>
      </c>
    </row>
    <row r="2326" spans="1:8" x14ac:dyDescent="0.2">
      <c r="A2326" s="2" t="s">
        <v>2406</v>
      </c>
      <c r="B2326" s="2" t="s">
        <v>2342</v>
      </c>
      <c r="C2326" s="2" t="s">
        <v>19</v>
      </c>
      <c r="D2326" s="3">
        <v>2867</v>
      </c>
      <c r="E2326" s="4" t="s">
        <v>20</v>
      </c>
      <c r="F2326" s="5">
        <v>1.59</v>
      </c>
      <c r="G2326" s="4" t="s">
        <v>21</v>
      </c>
      <c r="H2326" s="6">
        <f t="shared" si="36"/>
        <v>4558.5300000000007</v>
      </c>
    </row>
    <row r="2327" spans="1:8" x14ac:dyDescent="0.2">
      <c r="A2327" s="2" t="s">
        <v>2407</v>
      </c>
      <c r="B2327" s="2" t="s">
        <v>2342</v>
      </c>
      <c r="C2327" s="2" t="s">
        <v>46</v>
      </c>
      <c r="D2327" s="3">
        <v>230</v>
      </c>
      <c r="E2327" s="4" t="s">
        <v>20</v>
      </c>
      <c r="F2327" s="5">
        <v>3.53</v>
      </c>
      <c r="G2327" s="4" t="s">
        <v>21</v>
      </c>
      <c r="H2327" s="6">
        <f t="shared" si="36"/>
        <v>811.9</v>
      </c>
    </row>
    <row r="2328" spans="1:8" x14ac:dyDescent="0.2">
      <c r="A2328" s="2" t="s">
        <v>2408</v>
      </c>
      <c r="B2328" s="2" t="s">
        <v>2342</v>
      </c>
      <c r="C2328" s="2" t="s">
        <v>57</v>
      </c>
      <c r="D2328" s="3">
        <v>3127</v>
      </c>
      <c r="E2328" s="4" t="s">
        <v>20</v>
      </c>
      <c r="F2328" s="5">
        <v>0.64</v>
      </c>
      <c r="G2328" s="4" t="s">
        <v>21</v>
      </c>
      <c r="H2328" s="6">
        <f t="shared" si="36"/>
        <v>2001.28</v>
      </c>
    </row>
    <row r="2329" spans="1:8" x14ac:dyDescent="0.2">
      <c r="A2329" s="2" t="s">
        <v>2409</v>
      </c>
      <c r="B2329" s="2" t="s">
        <v>2342</v>
      </c>
      <c r="C2329" s="2" t="s">
        <v>19</v>
      </c>
      <c r="D2329" s="3">
        <v>2937</v>
      </c>
      <c r="E2329" s="4" t="s">
        <v>20</v>
      </c>
      <c r="F2329" s="5">
        <v>1.35</v>
      </c>
      <c r="G2329" s="4" t="s">
        <v>21</v>
      </c>
      <c r="H2329" s="6">
        <f t="shared" si="36"/>
        <v>3964.9500000000003</v>
      </c>
    </row>
    <row r="2330" spans="1:8" x14ac:dyDescent="0.2">
      <c r="A2330" s="2" t="s">
        <v>2410</v>
      </c>
      <c r="B2330" s="2" t="s">
        <v>2342</v>
      </c>
      <c r="C2330" s="2" t="s">
        <v>37</v>
      </c>
      <c r="D2330" s="3">
        <v>2010</v>
      </c>
      <c r="E2330" s="4" t="s">
        <v>38</v>
      </c>
      <c r="F2330" s="5">
        <v>2.74</v>
      </c>
      <c r="G2330" s="4" t="s">
        <v>39</v>
      </c>
      <c r="H2330" s="6">
        <f t="shared" si="36"/>
        <v>5507.4000000000005</v>
      </c>
    </row>
    <row r="2331" spans="1:8" x14ac:dyDescent="0.2">
      <c r="A2331" s="2" t="s">
        <v>2411</v>
      </c>
      <c r="B2331" s="2" t="s">
        <v>2342</v>
      </c>
      <c r="C2331" s="2" t="s">
        <v>71</v>
      </c>
      <c r="D2331" s="3">
        <v>4864</v>
      </c>
      <c r="E2331" s="4" t="s">
        <v>72</v>
      </c>
      <c r="F2331" s="5">
        <v>2450.9699999999998</v>
      </c>
      <c r="G2331" s="4" t="s">
        <v>73</v>
      </c>
      <c r="H2331" s="6">
        <f t="shared" si="36"/>
        <v>11921518.079999998</v>
      </c>
    </row>
    <row r="2332" spans="1:8" x14ac:dyDescent="0.2">
      <c r="A2332" s="2" t="s">
        <v>2412</v>
      </c>
      <c r="B2332" s="2" t="s">
        <v>2342</v>
      </c>
      <c r="C2332" s="2" t="s">
        <v>27</v>
      </c>
      <c r="D2332" s="3">
        <v>2507</v>
      </c>
      <c r="E2332" s="4" t="s">
        <v>20</v>
      </c>
      <c r="F2332" s="5">
        <v>1.34</v>
      </c>
      <c r="G2332" s="4" t="s">
        <v>21</v>
      </c>
      <c r="H2332" s="6">
        <f t="shared" si="36"/>
        <v>3359.38</v>
      </c>
    </row>
    <row r="2333" spans="1:8" x14ac:dyDescent="0.2">
      <c r="A2333" s="2" t="s">
        <v>2413</v>
      </c>
      <c r="B2333" s="2" t="s">
        <v>2342</v>
      </c>
      <c r="C2333" s="2" t="s">
        <v>118</v>
      </c>
      <c r="D2333" s="3">
        <v>171</v>
      </c>
      <c r="E2333" s="4" t="s">
        <v>24</v>
      </c>
      <c r="F2333" s="5">
        <v>0.78</v>
      </c>
      <c r="G2333" s="4" t="s">
        <v>25</v>
      </c>
      <c r="H2333" s="6">
        <f t="shared" si="36"/>
        <v>133.38</v>
      </c>
    </row>
    <row r="2334" spans="1:8" x14ac:dyDescent="0.2">
      <c r="A2334" s="2" t="s">
        <v>2414</v>
      </c>
      <c r="B2334" s="2" t="s">
        <v>2342</v>
      </c>
      <c r="C2334" s="2" t="s">
        <v>37</v>
      </c>
      <c r="D2334" s="3">
        <v>3785</v>
      </c>
      <c r="E2334" s="4" t="s">
        <v>38</v>
      </c>
      <c r="F2334" s="5">
        <v>3.97</v>
      </c>
      <c r="G2334" s="4" t="s">
        <v>39</v>
      </c>
      <c r="H2334" s="6">
        <f t="shared" si="36"/>
        <v>15026.45</v>
      </c>
    </row>
    <row r="2335" spans="1:8" x14ac:dyDescent="0.2">
      <c r="A2335" s="2" t="s">
        <v>2415</v>
      </c>
      <c r="B2335" s="2" t="s">
        <v>2342</v>
      </c>
      <c r="C2335" s="2" t="s">
        <v>52</v>
      </c>
      <c r="D2335" s="3">
        <v>4663</v>
      </c>
      <c r="E2335" s="4" t="s">
        <v>53</v>
      </c>
      <c r="F2335" s="5">
        <v>11.57</v>
      </c>
      <c r="G2335" s="4" t="s">
        <v>54</v>
      </c>
      <c r="H2335" s="6">
        <f t="shared" si="36"/>
        <v>53950.91</v>
      </c>
    </row>
    <row r="2336" spans="1:8" x14ac:dyDescent="0.2">
      <c r="A2336" s="2" t="s">
        <v>2416</v>
      </c>
      <c r="B2336" s="2" t="s">
        <v>2342</v>
      </c>
      <c r="C2336" s="2" t="s">
        <v>52</v>
      </c>
      <c r="D2336" s="3">
        <v>2194</v>
      </c>
      <c r="E2336" s="4" t="s">
        <v>53</v>
      </c>
      <c r="F2336" s="5">
        <v>9.1</v>
      </c>
      <c r="G2336" s="4" t="s">
        <v>54</v>
      </c>
      <c r="H2336" s="6">
        <f t="shared" si="36"/>
        <v>19965.399999999998</v>
      </c>
    </row>
    <row r="2337" spans="1:8" x14ac:dyDescent="0.2">
      <c r="A2337" s="2" t="s">
        <v>2417</v>
      </c>
      <c r="B2337" s="2" t="s">
        <v>2342</v>
      </c>
      <c r="C2337" s="2" t="s">
        <v>48</v>
      </c>
      <c r="D2337" s="3">
        <v>4826</v>
      </c>
      <c r="E2337" s="4" t="s">
        <v>24</v>
      </c>
      <c r="F2337" s="5">
        <v>0.05</v>
      </c>
      <c r="G2337" s="4" t="s">
        <v>25</v>
      </c>
      <c r="H2337" s="6">
        <f t="shared" si="36"/>
        <v>241.3</v>
      </c>
    </row>
    <row r="2338" spans="1:8" x14ac:dyDescent="0.2">
      <c r="A2338" s="2" t="s">
        <v>2418</v>
      </c>
      <c r="B2338" s="2" t="s">
        <v>2342</v>
      </c>
      <c r="C2338" s="2" t="s">
        <v>57</v>
      </c>
      <c r="D2338" s="3">
        <v>3104</v>
      </c>
      <c r="E2338" s="4" t="s">
        <v>20</v>
      </c>
      <c r="F2338" s="5">
        <v>0.83</v>
      </c>
      <c r="G2338" s="4" t="s">
        <v>21</v>
      </c>
      <c r="H2338" s="6">
        <f t="shared" si="36"/>
        <v>2576.3199999999997</v>
      </c>
    </row>
    <row r="2339" spans="1:8" x14ac:dyDescent="0.2">
      <c r="A2339" s="2" t="s">
        <v>2419</v>
      </c>
      <c r="B2339" s="2" t="s">
        <v>2342</v>
      </c>
      <c r="C2339" s="2" t="s">
        <v>57</v>
      </c>
      <c r="D2339" s="3">
        <v>4700</v>
      </c>
      <c r="E2339" s="4" t="s">
        <v>20</v>
      </c>
      <c r="F2339" s="5">
        <v>0.64</v>
      </c>
      <c r="G2339" s="4" t="s">
        <v>21</v>
      </c>
      <c r="H2339" s="6">
        <f t="shared" si="36"/>
        <v>3008</v>
      </c>
    </row>
    <row r="2340" spans="1:8" x14ac:dyDescent="0.2">
      <c r="A2340" s="2" t="s">
        <v>2420</v>
      </c>
      <c r="B2340" s="2" t="s">
        <v>2342</v>
      </c>
      <c r="C2340" s="2" t="s">
        <v>48</v>
      </c>
      <c r="D2340" s="3">
        <v>829</v>
      </c>
      <c r="E2340" s="4" t="s">
        <v>24</v>
      </c>
      <c r="F2340" s="5">
        <v>0.15</v>
      </c>
      <c r="G2340" s="4" t="s">
        <v>25</v>
      </c>
      <c r="H2340" s="6">
        <f t="shared" si="36"/>
        <v>124.35</v>
      </c>
    </row>
    <row r="2341" spans="1:8" x14ac:dyDescent="0.2">
      <c r="A2341" s="2" t="s">
        <v>2421</v>
      </c>
      <c r="B2341" s="2" t="s">
        <v>2342</v>
      </c>
      <c r="C2341" s="2" t="s">
        <v>44</v>
      </c>
      <c r="D2341" s="3">
        <v>2762</v>
      </c>
      <c r="E2341" s="4" t="s">
        <v>24</v>
      </c>
      <c r="F2341" s="5">
        <v>1.25</v>
      </c>
      <c r="G2341" s="4" t="s">
        <v>25</v>
      </c>
      <c r="H2341" s="6">
        <f t="shared" si="36"/>
        <v>3452.5</v>
      </c>
    </row>
    <row r="2342" spans="1:8" x14ac:dyDescent="0.2">
      <c r="A2342" s="2" t="s">
        <v>2422</v>
      </c>
      <c r="B2342" s="2" t="s">
        <v>2342</v>
      </c>
      <c r="C2342" s="2" t="s">
        <v>57</v>
      </c>
      <c r="D2342" s="3">
        <v>1375</v>
      </c>
      <c r="E2342" s="4" t="s">
        <v>20</v>
      </c>
      <c r="F2342" s="5">
        <v>0.85</v>
      </c>
      <c r="G2342" s="4" t="s">
        <v>21</v>
      </c>
      <c r="H2342" s="6">
        <f t="shared" si="36"/>
        <v>1168.75</v>
      </c>
    </row>
    <row r="2343" spans="1:8" x14ac:dyDescent="0.2">
      <c r="A2343" s="2" t="s">
        <v>2423</v>
      </c>
      <c r="B2343" s="2" t="s">
        <v>2342</v>
      </c>
      <c r="C2343" s="2" t="s">
        <v>19</v>
      </c>
      <c r="D2343" s="3">
        <v>3581</v>
      </c>
      <c r="E2343" s="4" t="s">
        <v>20</v>
      </c>
      <c r="F2343" s="5">
        <v>1.22</v>
      </c>
      <c r="G2343" s="4" t="s">
        <v>21</v>
      </c>
      <c r="H2343" s="6">
        <f t="shared" si="36"/>
        <v>4368.82</v>
      </c>
    </row>
    <row r="2344" spans="1:8" x14ac:dyDescent="0.2">
      <c r="A2344" s="2" t="s">
        <v>2424</v>
      </c>
      <c r="B2344" s="2" t="s">
        <v>2342</v>
      </c>
      <c r="C2344" s="2" t="s">
        <v>27</v>
      </c>
      <c r="D2344" s="3">
        <v>4399</v>
      </c>
      <c r="E2344" s="4" t="s">
        <v>20</v>
      </c>
      <c r="F2344" s="5">
        <v>1.46</v>
      </c>
      <c r="G2344" s="4" t="s">
        <v>21</v>
      </c>
      <c r="H2344" s="6">
        <f t="shared" si="36"/>
        <v>6422.54</v>
      </c>
    </row>
    <row r="2345" spans="1:8" x14ac:dyDescent="0.2">
      <c r="A2345" s="2" t="s">
        <v>2425</v>
      </c>
      <c r="B2345" s="2" t="s">
        <v>2342</v>
      </c>
      <c r="C2345" s="2" t="s">
        <v>86</v>
      </c>
      <c r="D2345" s="3">
        <v>399</v>
      </c>
      <c r="E2345" s="4" t="s">
        <v>72</v>
      </c>
      <c r="F2345" s="5">
        <v>8216.25</v>
      </c>
      <c r="G2345" s="4" t="s">
        <v>73</v>
      </c>
      <c r="H2345" s="6">
        <f t="shared" si="36"/>
        <v>3278283.75</v>
      </c>
    </row>
    <row r="2346" spans="1:8" x14ac:dyDescent="0.2">
      <c r="A2346" s="2" t="s">
        <v>2426</v>
      </c>
      <c r="B2346" s="2" t="s">
        <v>2342</v>
      </c>
      <c r="C2346" s="2" t="s">
        <v>46</v>
      </c>
      <c r="D2346" s="3">
        <v>3303</v>
      </c>
      <c r="E2346" s="4" t="s">
        <v>20</v>
      </c>
      <c r="F2346" s="5">
        <v>3.61</v>
      </c>
      <c r="G2346" s="4" t="s">
        <v>21</v>
      </c>
      <c r="H2346" s="6">
        <f t="shared" si="36"/>
        <v>11923.83</v>
      </c>
    </row>
    <row r="2347" spans="1:8" x14ac:dyDescent="0.2">
      <c r="A2347" s="2" t="s">
        <v>2427</v>
      </c>
      <c r="B2347" s="2" t="s">
        <v>2342</v>
      </c>
      <c r="C2347" s="2" t="s">
        <v>147</v>
      </c>
      <c r="D2347" s="3">
        <v>763</v>
      </c>
      <c r="E2347" s="4" t="s">
        <v>53</v>
      </c>
      <c r="F2347" s="5">
        <v>13.74</v>
      </c>
      <c r="G2347" s="4" t="s">
        <v>54</v>
      </c>
      <c r="H2347" s="6">
        <f t="shared" si="36"/>
        <v>10483.620000000001</v>
      </c>
    </row>
    <row r="2348" spans="1:8" x14ac:dyDescent="0.2">
      <c r="A2348" s="2" t="s">
        <v>2428</v>
      </c>
      <c r="B2348" s="2" t="s">
        <v>2342</v>
      </c>
      <c r="C2348" s="2" t="s">
        <v>46</v>
      </c>
      <c r="D2348" s="3">
        <v>786</v>
      </c>
      <c r="E2348" s="4" t="s">
        <v>20</v>
      </c>
      <c r="F2348" s="5">
        <v>3.18</v>
      </c>
      <c r="G2348" s="4" t="s">
        <v>21</v>
      </c>
      <c r="H2348" s="6">
        <f t="shared" si="36"/>
        <v>2499.48</v>
      </c>
    </row>
    <row r="2349" spans="1:8" x14ac:dyDescent="0.2">
      <c r="A2349" s="2" t="s">
        <v>2429</v>
      </c>
      <c r="B2349" s="2" t="s">
        <v>2342</v>
      </c>
      <c r="C2349" s="2" t="s">
        <v>86</v>
      </c>
      <c r="D2349" s="3">
        <v>561</v>
      </c>
      <c r="E2349" s="4" t="s">
        <v>72</v>
      </c>
      <c r="F2349" s="5">
        <v>8593</v>
      </c>
      <c r="G2349" s="4" t="s">
        <v>73</v>
      </c>
      <c r="H2349" s="6">
        <f t="shared" si="36"/>
        <v>4820673</v>
      </c>
    </row>
    <row r="2350" spans="1:8" x14ac:dyDescent="0.2">
      <c r="A2350" s="2" t="s">
        <v>2430</v>
      </c>
      <c r="B2350" s="2" t="s">
        <v>2342</v>
      </c>
      <c r="C2350" s="2" t="s">
        <v>78</v>
      </c>
      <c r="D2350" s="3">
        <v>3903</v>
      </c>
      <c r="E2350" s="4" t="s">
        <v>38</v>
      </c>
      <c r="F2350" s="5">
        <v>2.23</v>
      </c>
      <c r="G2350" s="4" t="s">
        <v>39</v>
      </c>
      <c r="H2350" s="6">
        <f t="shared" si="36"/>
        <v>8703.69</v>
      </c>
    </row>
    <row r="2351" spans="1:8" x14ac:dyDescent="0.2">
      <c r="A2351" s="2" t="s">
        <v>2431</v>
      </c>
      <c r="B2351" s="2" t="s">
        <v>2342</v>
      </c>
      <c r="C2351" s="2" t="s">
        <v>19</v>
      </c>
      <c r="D2351" s="3">
        <v>638</v>
      </c>
      <c r="E2351" s="4" t="s">
        <v>20</v>
      </c>
      <c r="F2351" s="5">
        <v>1.49</v>
      </c>
      <c r="G2351" s="4" t="s">
        <v>21</v>
      </c>
      <c r="H2351" s="6">
        <f t="shared" si="36"/>
        <v>950.62</v>
      </c>
    </row>
    <row r="2352" spans="1:8" x14ac:dyDescent="0.2">
      <c r="A2352" s="2" t="s">
        <v>2432</v>
      </c>
      <c r="B2352" s="2" t="s">
        <v>2342</v>
      </c>
      <c r="C2352" s="2" t="s">
        <v>71</v>
      </c>
      <c r="D2352" s="3">
        <v>4144</v>
      </c>
      <c r="E2352" s="4" t="s">
        <v>72</v>
      </c>
      <c r="F2352" s="5">
        <v>2882.48</v>
      </c>
      <c r="G2352" s="4" t="s">
        <v>73</v>
      </c>
      <c r="H2352" s="6">
        <f t="shared" si="36"/>
        <v>11944997.119999999</v>
      </c>
    </row>
    <row r="2353" spans="1:8" x14ac:dyDescent="0.2">
      <c r="A2353" s="2" t="s">
        <v>2433</v>
      </c>
      <c r="B2353" s="2" t="s">
        <v>2342</v>
      </c>
      <c r="C2353" s="2" t="s">
        <v>52</v>
      </c>
      <c r="D2353" s="3">
        <v>4433</v>
      </c>
      <c r="E2353" s="4" t="s">
        <v>53</v>
      </c>
      <c r="F2353" s="5">
        <v>10.57</v>
      </c>
      <c r="G2353" s="4" t="s">
        <v>54</v>
      </c>
      <c r="H2353" s="6">
        <f t="shared" si="36"/>
        <v>46856.81</v>
      </c>
    </row>
    <row r="2354" spans="1:8" x14ac:dyDescent="0.2">
      <c r="A2354" s="2" t="s">
        <v>2434</v>
      </c>
      <c r="B2354" s="2" t="s">
        <v>2342</v>
      </c>
      <c r="C2354" s="2" t="s">
        <v>52</v>
      </c>
      <c r="D2354" s="3">
        <v>3305</v>
      </c>
      <c r="E2354" s="4" t="s">
        <v>53</v>
      </c>
      <c r="F2354" s="5">
        <v>10.26</v>
      </c>
      <c r="G2354" s="4" t="s">
        <v>54</v>
      </c>
      <c r="H2354" s="6">
        <f t="shared" si="36"/>
        <v>33909.300000000003</v>
      </c>
    </row>
    <row r="2355" spans="1:8" x14ac:dyDescent="0.2">
      <c r="A2355" s="2" t="s">
        <v>2435</v>
      </c>
      <c r="B2355" s="2" t="s">
        <v>2342</v>
      </c>
      <c r="C2355" s="2" t="s">
        <v>78</v>
      </c>
      <c r="D2355" s="3">
        <v>3722</v>
      </c>
      <c r="E2355" s="4" t="s">
        <v>38</v>
      </c>
      <c r="F2355" s="5">
        <v>2.64</v>
      </c>
      <c r="G2355" s="4" t="s">
        <v>39</v>
      </c>
      <c r="H2355" s="6">
        <f t="shared" si="36"/>
        <v>9826.08</v>
      </c>
    </row>
    <row r="2356" spans="1:8" x14ac:dyDescent="0.2">
      <c r="A2356" s="2" t="s">
        <v>2436</v>
      </c>
      <c r="B2356" s="2" t="s">
        <v>2342</v>
      </c>
      <c r="C2356" s="2" t="s">
        <v>29</v>
      </c>
      <c r="D2356" s="3">
        <v>1489</v>
      </c>
      <c r="E2356" s="4" t="s">
        <v>30</v>
      </c>
      <c r="F2356" s="5">
        <v>2.06</v>
      </c>
      <c r="G2356" s="4" t="s">
        <v>31</v>
      </c>
      <c r="H2356" s="6">
        <f t="shared" si="36"/>
        <v>3067.34</v>
      </c>
    </row>
    <row r="2357" spans="1:8" x14ac:dyDescent="0.2">
      <c r="A2357" s="2" t="s">
        <v>2437</v>
      </c>
      <c r="B2357" s="2" t="s">
        <v>2342</v>
      </c>
      <c r="C2357" s="2" t="s">
        <v>78</v>
      </c>
      <c r="D2357" s="3">
        <v>1538</v>
      </c>
      <c r="E2357" s="4" t="s">
        <v>38</v>
      </c>
      <c r="F2357" s="5">
        <v>2.48</v>
      </c>
      <c r="G2357" s="4" t="s">
        <v>39</v>
      </c>
      <c r="H2357" s="6">
        <f t="shared" si="36"/>
        <v>3814.24</v>
      </c>
    </row>
    <row r="2358" spans="1:8" x14ac:dyDescent="0.2">
      <c r="A2358" s="2" t="s">
        <v>2438</v>
      </c>
      <c r="B2358" s="2" t="s">
        <v>2342</v>
      </c>
      <c r="C2358" s="2" t="s">
        <v>44</v>
      </c>
      <c r="D2358" s="3">
        <v>3838</v>
      </c>
      <c r="E2358" s="4" t="s">
        <v>24</v>
      </c>
      <c r="F2358" s="5">
        <v>1.0900000000000001</v>
      </c>
      <c r="G2358" s="4" t="s">
        <v>25</v>
      </c>
      <c r="H2358" s="6">
        <f t="shared" si="36"/>
        <v>4183.42</v>
      </c>
    </row>
    <row r="2359" spans="1:8" x14ac:dyDescent="0.2">
      <c r="A2359" s="2" t="s">
        <v>2439</v>
      </c>
      <c r="B2359" s="2" t="s">
        <v>2342</v>
      </c>
      <c r="C2359" s="2" t="s">
        <v>29</v>
      </c>
      <c r="D2359" s="3">
        <v>3563</v>
      </c>
      <c r="E2359" s="4" t="s">
        <v>30</v>
      </c>
      <c r="F2359" s="5">
        <v>2.12</v>
      </c>
      <c r="G2359" s="4" t="s">
        <v>31</v>
      </c>
      <c r="H2359" s="6">
        <f t="shared" si="36"/>
        <v>7553.56</v>
      </c>
    </row>
    <row r="2360" spans="1:8" x14ac:dyDescent="0.2">
      <c r="A2360" s="2" t="s">
        <v>2440</v>
      </c>
      <c r="B2360" s="2" t="s">
        <v>2342</v>
      </c>
      <c r="C2360" s="2" t="s">
        <v>37</v>
      </c>
      <c r="D2360" s="3">
        <v>4288</v>
      </c>
      <c r="E2360" s="4" t="s">
        <v>38</v>
      </c>
      <c r="F2360" s="5">
        <v>2.6</v>
      </c>
      <c r="G2360" s="4" t="s">
        <v>39</v>
      </c>
      <c r="H2360" s="6">
        <f t="shared" si="36"/>
        <v>11148.800000000001</v>
      </c>
    </row>
    <row r="2361" spans="1:8" x14ac:dyDescent="0.2">
      <c r="A2361" s="2" t="s">
        <v>2441</v>
      </c>
      <c r="B2361" s="2" t="s">
        <v>2342</v>
      </c>
      <c r="C2361" s="2" t="s">
        <v>23</v>
      </c>
      <c r="D2361" s="3">
        <v>1220</v>
      </c>
      <c r="E2361" s="4" t="s">
        <v>24</v>
      </c>
      <c r="F2361" s="5">
        <v>13.44</v>
      </c>
      <c r="G2361" s="4" t="s">
        <v>25</v>
      </c>
      <c r="H2361" s="6">
        <f t="shared" si="36"/>
        <v>16396.8</v>
      </c>
    </row>
    <row r="2362" spans="1:8" x14ac:dyDescent="0.2">
      <c r="A2362" s="2" t="s">
        <v>2442</v>
      </c>
      <c r="B2362" s="2" t="s">
        <v>2342</v>
      </c>
      <c r="C2362" s="2" t="s">
        <v>71</v>
      </c>
      <c r="D2362" s="3">
        <v>3576</v>
      </c>
      <c r="E2362" s="4" t="s">
        <v>72</v>
      </c>
      <c r="F2362" s="5">
        <v>2646.16</v>
      </c>
      <c r="G2362" s="4" t="s">
        <v>73</v>
      </c>
      <c r="H2362" s="6">
        <f t="shared" si="36"/>
        <v>9462668.1600000001</v>
      </c>
    </row>
    <row r="2363" spans="1:8" x14ac:dyDescent="0.2">
      <c r="A2363" s="2" t="s">
        <v>2443</v>
      </c>
      <c r="B2363" s="2" t="s">
        <v>2342</v>
      </c>
      <c r="C2363" s="2" t="s">
        <v>27</v>
      </c>
      <c r="D2363" s="3">
        <v>1677</v>
      </c>
      <c r="E2363" s="4" t="s">
        <v>20</v>
      </c>
      <c r="F2363" s="5">
        <v>2.2200000000000002</v>
      </c>
      <c r="G2363" s="4" t="s">
        <v>21</v>
      </c>
      <c r="H2363" s="6">
        <f t="shared" si="36"/>
        <v>3722.9400000000005</v>
      </c>
    </row>
    <row r="2364" spans="1:8" x14ac:dyDescent="0.2">
      <c r="A2364" s="2" t="s">
        <v>2444</v>
      </c>
      <c r="B2364" s="2" t="s">
        <v>2342</v>
      </c>
      <c r="C2364" s="2" t="s">
        <v>86</v>
      </c>
      <c r="D2364" s="3">
        <v>2361</v>
      </c>
      <c r="E2364" s="4" t="s">
        <v>72</v>
      </c>
      <c r="F2364" s="5">
        <v>8704.4599999999991</v>
      </c>
      <c r="G2364" s="4" t="s">
        <v>73</v>
      </c>
      <c r="H2364" s="6">
        <f t="shared" si="36"/>
        <v>20551230.059999999</v>
      </c>
    </row>
    <row r="2365" spans="1:8" x14ac:dyDescent="0.2">
      <c r="A2365" s="2" t="s">
        <v>2445</v>
      </c>
      <c r="B2365" s="2" t="s">
        <v>2342</v>
      </c>
      <c r="C2365" s="2" t="s">
        <v>86</v>
      </c>
      <c r="D2365" s="3">
        <v>4935</v>
      </c>
      <c r="E2365" s="4" t="s">
        <v>72</v>
      </c>
      <c r="F2365" s="5">
        <v>8130.58</v>
      </c>
      <c r="G2365" s="4" t="s">
        <v>73</v>
      </c>
      <c r="H2365" s="6">
        <f t="shared" si="36"/>
        <v>40124412.299999997</v>
      </c>
    </row>
    <row r="2366" spans="1:8" x14ac:dyDescent="0.2">
      <c r="A2366" s="2" t="s">
        <v>2446</v>
      </c>
      <c r="B2366" s="2" t="s">
        <v>2342</v>
      </c>
      <c r="C2366" s="2" t="s">
        <v>42</v>
      </c>
      <c r="D2366" s="3">
        <v>940</v>
      </c>
      <c r="E2366" s="4" t="s">
        <v>24</v>
      </c>
      <c r="F2366" s="5">
        <v>3.95</v>
      </c>
      <c r="G2366" s="4" t="s">
        <v>25</v>
      </c>
      <c r="H2366" s="6">
        <f t="shared" si="36"/>
        <v>3713</v>
      </c>
    </row>
    <row r="2367" spans="1:8" x14ac:dyDescent="0.2">
      <c r="A2367" s="2" t="s">
        <v>2447</v>
      </c>
      <c r="B2367" s="2" t="s">
        <v>2342</v>
      </c>
      <c r="C2367" s="2" t="s">
        <v>33</v>
      </c>
      <c r="D2367" s="3">
        <v>2021</v>
      </c>
      <c r="E2367" s="4" t="s">
        <v>34</v>
      </c>
      <c r="F2367" s="5">
        <v>5.49</v>
      </c>
      <c r="G2367" s="4" t="s">
        <v>35</v>
      </c>
      <c r="H2367" s="6">
        <f t="shared" si="36"/>
        <v>11095.29</v>
      </c>
    </row>
    <row r="2368" spans="1:8" x14ac:dyDescent="0.2">
      <c r="A2368" s="2" t="s">
        <v>2448</v>
      </c>
      <c r="B2368" s="2" t="s">
        <v>2342</v>
      </c>
      <c r="C2368" s="2" t="s">
        <v>71</v>
      </c>
      <c r="D2368" s="3">
        <v>3812</v>
      </c>
      <c r="E2368" s="4" t="s">
        <v>72</v>
      </c>
      <c r="F2368" s="5">
        <v>2691.23</v>
      </c>
      <c r="G2368" s="4" t="s">
        <v>73</v>
      </c>
      <c r="H2368" s="6">
        <f t="shared" si="36"/>
        <v>10258968.76</v>
      </c>
    </row>
    <row r="2369" spans="1:8" x14ac:dyDescent="0.2">
      <c r="A2369" s="2" t="s">
        <v>2449</v>
      </c>
      <c r="B2369" s="2" t="s">
        <v>2342</v>
      </c>
      <c r="C2369" s="2" t="s">
        <v>52</v>
      </c>
      <c r="D2369" s="3">
        <v>3467</v>
      </c>
      <c r="E2369" s="4" t="s">
        <v>53</v>
      </c>
      <c r="F2369" s="5">
        <v>12.23</v>
      </c>
      <c r="G2369" s="4" t="s">
        <v>54</v>
      </c>
      <c r="H2369" s="6">
        <f t="shared" si="36"/>
        <v>42401.41</v>
      </c>
    </row>
    <row r="2370" spans="1:8" x14ac:dyDescent="0.2">
      <c r="A2370" s="2" t="s">
        <v>2450</v>
      </c>
      <c r="B2370" s="2" t="s">
        <v>2342</v>
      </c>
      <c r="C2370" s="2" t="s">
        <v>37</v>
      </c>
      <c r="D2370" s="3">
        <v>1664</v>
      </c>
      <c r="E2370" s="4" t="s">
        <v>38</v>
      </c>
      <c r="F2370" s="5">
        <v>2.48</v>
      </c>
      <c r="G2370" s="4" t="s">
        <v>39</v>
      </c>
      <c r="H2370" s="6">
        <f t="shared" ref="H2370:H2433" si="37">D2370*F2370</f>
        <v>4126.72</v>
      </c>
    </row>
    <row r="2371" spans="1:8" x14ac:dyDescent="0.2">
      <c r="A2371" s="2" t="s">
        <v>2451</v>
      </c>
      <c r="B2371" s="2" t="s">
        <v>2342</v>
      </c>
      <c r="C2371" s="2" t="s">
        <v>89</v>
      </c>
      <c r="D2371" s="3">
        <v>248</v>
      </c>
      <c r="E2371" s="4" t="s">
        <v>30</v>
      </c>
      <c r="F2371" s="5">
        <v>2.11</v>
      </c>
      <c r="G2371" s="4" t="s">
        <v>31</v>
      </c>
      <c r="H2371" s="6">
        <f t="shared" si="37"/>
        <v>523.28</v>
      </c>
    </row>
    <row r="2372" spans="1:8" x14ac:dyDescent="0.2">
      <c r="A2372" s="2" t="s">
        <v>2452</v>
      </c>
      <c r="B2372" s="2" t="s">
        <v>2342</v>
      </c>
      <c r="C2372" s="2" t="s">
        <v>86</v>
      </c>
      <c r="D2372" s="3">
        <v>4521</v>
      </c>
      <c r="E2372" s="4" t="s">
        <v>72</v>
      </c>
      <c r="F2372" s="5">
        <v>8046.38</v>
      </c>
      <c r="G2372" s="4" t="s">
        <v>73</v>
      </c>
      <c r="H2372" s="6">
        <f t="shared" si="37"/>
        <v>36377683.980000004</v>
      </c>
    </row>
    <row r="2373" spans="1:8" x14ac:dyDescent="0.2">
      <c r="A2373" s="2" t="s">
        <v>2453</v>
      </c>
      <c r="B2373" s="2" t="s">
        <v>2342</v>
      </c>
      <c r="C2373" s="2" t="s">
        <v>37</v>
      </c>
      <c r="D2373" s="3">
        <v>3990</v>
      </c>
      <c r="E2373" s="4" t="s">
        <v>38</v>
      </c>
      <c r="F2373" s="5">
        <v>4.3499999999999996</v>
      </c>
      <c r="G2373" s="4" t="s">
        <v>39</v>
      </c>
      <c r="H2373" s="6">
        <f t="shared" si="37"/>
        <v>17356.5</v>
      </c>
    </row>
    <row r="2374" spans="1:8" x14ac:dyDescent="0.2">
      <c r="A2374" s="2" t="s">
        <v>2454</v>
      </c>
      <c r="B2374" s="2" t="s">
        <v>2455</v>
      </c>
      <c r="C2374" s="2" t="s">
        <v>37</v>
      </c>
      <c r="D2374" s="3">
        <v>697</v>
      </c>
      <c r="E2374" s="4" t="s">
        <v>38</v>
      </c>
      <c r="F2374" s="5">
        <v>2.94</v>
      </c>
      <c r="G2374" s="4" t="s">
        <v>39</v>
      </c>
      <c r="H2374" s="6">
        <f t="shared" si="37"/>
        <v>2049.1799999999998</v>
      </c>
    </row>
    <row r="2375" spans="1:8" x14ac:dyDescent="0.2">
      <c r="A2375" s="2" t="s">
        <v>2456</v>
      </c>
      <c r="B2375" s="2" t="s">
        <v>2455</v>
      </c>
      <c r="C2375" s="2" t="s">
        <v>71</v>
      </c>
      <c r="D2375" s="3">
        <v>530</v>
      </c>
      <c r="E2375" s="4" t="s">
        <v>72</v>
      </c>
      <c r="F2375" s="5">
        <v>2940.34</v>
      </c>
      <c r="G2375" s="4" t="s">
        <v>73</v>
      </c>
      <c r="H2375" s="6">
        <f t="shared" si="37"/>
        <v>1558380.2000000002</v>
      </c>
    </row>
    <row r="2376" spans="1:8" x14ac:dyDescent="0.2">
      <c r="A2376" s="2" t="s">
        <v>2457</v>
      </c>
      <c r="B2376" s="2" t="s">
        <v>2455</v>
      </c>
      <c r="C2376" s="2" t="s">
        <v>52</v>
      </c>
      <c r="D2376" s="3">
        <v>2987</v>
      </c>
      <c r="E2376" s="4" t="s">
        <v>53</v>
      </c>
      <c r="F2376" s="5">
        <v>12.36</v>
      </c>
      <c r="G2376" s="4" t="s">
        <v>54</v>
      </c>
      <c r="H2376" s="6">
        <f t="shared" si="37"/>
        <v>36919.32</v>
      </c>
    </row>
    <row r="2377" spans="1:8" x14ac:dyDescent="0.2">
      <c r="A2377" s="2" t="s">
        <v>2458</v>
      </c>
      <c r="B2377" s="2" t="s">
        <v>2455</v>
      </c>
      <c r="C2377" s="2" t="s">
        <v>27</v>
      </c>
      <c r="D2377" s="3">
        <v>3261</v>
      </c>
      <c r="E2377" s="4" t="s">
        <v>20</v>
      </c>
      <c r="F2377" s="5">
        <v>2.33</v>
      </c>
      <c r="G2377" s="4" t="s">
        <v>21</v>
      </c>
      <c r="H2377" s="6">
        <f t="shared" si="37"/>
        <v>7598.13</v>
      </c>
    </row>
    <row r="2378" spans="1:8" x14ac:dyDescent="0.2">
      <c r="A2378" s="2" t="s">
        <v>2459</v>
      </c>
      <c r="B2378" s="2" t="s">
        <v>2455</v>
      </c>
      <c r="C2378" s="2" t="s">
        <v>89</v>
      </c>
      <c r="D2378" s="3">
        <v>1943</v>
      </c>
      <c r="E2378" s="4" t="s">
        <v>30</v>
      </c>
      <c r="F2378" s="5">
        <v>1.93</v>
      </c>
      <c r="G2378" s="4" t="s">
        <v>31</v>
      </c>
      <c r="H2378" s="6">
        <f t="shared" si="37"/>
        <v>3749.99</v>
      </c>
    </row>
    <row r="2379" spans="1:8" x14ac:dyDescent="0.2">
      <c r="A2379" s="2" t="s">
        <v>2460</v>
      </c>
      <c r="B2379" s="2" t="s">
        <v>2455</v>
      </c>
      <c r="C2379" s="2" t="s">
        <v>78</v>
      </c>
      <c r="D2379" s="3">
        <v>998</v>
      </c>
      <c r="E2379" s="4" t="s">
        <v>38</v>
      </c>
      <c r="F2379" s="5">
        <v>2.39</v>
      </c>
      <c r="G2379" s="4" t="s">
        <v>39</v>
      </c>
      <c r="H2379" s="6">
        <f t="shared" si="37"/>
        <v>2385.2200000000003</v>
      </c>
    </row>
    <row r="2380" spans="1:8" x14ac:dyDescent="0.2">
      <c r="A2380" s="2" t="s">
        <v>2461</v>
      </c>
      <c r="B2380" s="2" t="s">
        <v>2455</v>
      </c>
      <c r="C2380" s="2" t="s">
        <v>46</v>
      </c>
      <c r="D2380" s="3">
        <v>4312</v>
      </c>
      <c r="E2380" s="4" t="s">
        <v>20</v>
      </c>
      <c r="F2380" s="5">
        <v>2.5</v>
      </c>
      <c r="G2380" s="4" t="s">
        <v>21</v>
      </c>
      <c r="H2380" s="6">
        <f t="shared" si="37"/>
        <v>10780</v>
      </c>
    </row>
    <row r="2381" spans="1:8" x14ac:dyDescent="0.2">
      <c r="A2381" s="2" t="s">
        <v>2462</v>
      </c>
      <c r="B2381" s="2" t="s">
        <v>2455</v>
      </c>
      <c r="C2381" s="2" t="s">
        <v>27</v>
      </c>
      <c r="D2381" s="3">
        <v>1960</v>
      </c>
      <c r="E2381" s="4" t="s">
        <v>20</v>
      </c>
      <c r="F2381" s="5">
        <v>1.92</v>
      </c>
      <c r="G2381" s="4" t="s">
        <v>21</v>
      </c>
      <c r="H2381" s="6">
        <f t="shared" si="37"/>
        <v>3763.2</v>
      </c>
    </row>
    <row r="2382" spans="1:8" x14ac:dyDescent="0.2">
      <c r="A2382" s="2" t="s">
        <v>2463</v>
      </c>
      <c r="B2382" s="2" t="s">
        <v>2455</v>
      </c>
      <c r="C2382" s="2" t="s">
        <v>57</v>
      </c>
      <c r="D2382" s="3">
        <v>2707</v>
      </c>
      <c r="E2382" s="4" t="s">
        <v>20</v>
      </c>
      <c r="F2382" s="5">
        <v>0.93</v>
      </c>
      <c r="G2382" s="4" t="s">
        <v>21</v>
      </c>
      <c r="H2382" s="6">
        <f t="shared" si="37"/>
        <v>2517.5100000000002</v>
      </c>
    </row>
    <row r="2383" spans="1:8" x14ac:dyDescent="0.2">
      <c r="A2383" s="2" t="s">
        <v>2464</v>
      </c>
      <c r="B2383" s="2" t="s">
        <v>2455</v>
      </c>
      <c r="C2383" s="2" t="s">
        <v>67</v>
      </c>
      <c r="D2383" s="3">
        <v>1942</v>
      </c>
      <c r="E2383" s="4" t="s">
        <v>24</v>
      </c>
      <c r="F2383" s="5">
        <v>0.57999999999999996</v>
      </c>
      <c r="G2383" s="4" t="s">
        <v>25</v>
      </c>
      <c r="H2383" s="6">
        <f t="shared" si="37"/>
        <v>1126.3599999999999</v>
      </c>
    </row>
    <row r="2384" spans="1:8" x14ac:dyDescent="0.2">
      <c r="A2384" s="2" t="s">
        <v>2465</v>
      </c>
      <c r="B2384" s="2" t="s">
        <v>2455</v>
      </c>
      <c r="C2384" s="2" t="s">
        <v>44</v>
      </c>
      <c r="D2384" s="3">
        <v>1191</v>
      </c>
      <c r="E2384" s="4" t="s">
        <v>24</v>
      </c>
      <c r="F2384" s="5">
        <v>0.97</v>
      </c>
      <c r="G2384" s="4" t="s">
        <v>25</v>
      </c>
      <c r="H2384" s="6">
        <f t="shared" si="37"/>
        <v>1155.27</v>
      </c>
    </row>
    <row r="2385" spans="1:8" x14ac:dyDescent="0.2">
      <c r="A2385" s="2" t="s">
        <v>2466</v>
      </c>
      <c r="B2385" s="2" t="s">
        <v>2455</v>
      </c>
      <c r="C2385" s="2" t="s">
        <v>44</v>
      </c>
      <c r="D2385" s="3">
        <v>2259</v>
      </c>
      <c r="E2385" s="4" t="s">
        <v>24</v>
      </c>
      <c r="F2385" s="5">
        <v>1.21</v>
      </c>
      <c r="G2385" s="4" t="s">
        <v>25</v>
      </c>
      <c r="H2385" s="6">
        <f t="shared" si="37"/>
        <v>2733.39</v>
      </c>
    </row>
    <row r="2386" spans="1:8" x14ac:dyDescent="0.2">
      <c r="A2386" s="2" t="s">
        <v>2467</v>
      </c>
      <c r="B2386" s="2" t="s">
        <v>2455</v>
      </c>
      <c r="C2386" s="2" t="s">
        <v>86</v>
      </c>
      <c r="D2386" s="3">
        <v>4839</v>
      </c>
      <c r="E2386" s="4" t="s">
        <v>72</v>
      </c>
      <c r="F2386" s="5">
        <v>7878.3</v>
      </c>
      <c r="G2386" s="4" t="s">
        <v>73</v>
      </c>
      <c r="H2386" s="6">
        <f t="shared" si="37"/>
        <v>38123093.700000003</v>
      </c>
    </row>
    <row r="2387" spans="1:8" x14ac:dyDescent="0.2">
      <c r="A2387" s="2" t="s">
        <v>2468</v>
      </c>
      <c r="B2387" s="2" t="s">
        <v>2455</v>
      </c>
      <c r="C2387" s="2" t="s">
        <v>29</v>
      </c>
      <c r="D2387" s="3">
        <v>3079</v>
      </c>
      <c r="E2387" s="4" t="s">
        <v>30</v>
      </c>
      <c r="F2387" s="5">
        <v>1.84</v>
      </c>
      <c r="G2387" s="4" t="s">
        <v>31</v>
      </c>
      <c r="H2387" s="6">
        <f t="shared" si="37"/>
        <v>5665.3600000000006</v>
      </c>
    </row>
    <row r="2388" spans="1:8" x14ac:dyDescent="0.2">
      <c r="A2388" s="2" t="s">
        <v>2469</v>
      </c>
      <c r="B2388" s="2" t="s">
        <v>2455</v>
      </c>
      <c r="C2388" s="2" t="s">
        <v>50</v>
      </c>
      <c r="D2388" s="3">
        <v>2602</v>
      </c>
      <c r="E2388" s="4" t="s">
        <v>20</v>
      </c>
      <c r="F2388" s="5">
        <v>1.03</v>
      </c>
      <c r="G2388" s="4" t="s">
        <v>21</v>
      </c>
      <c r="H2388" s="6">
        <f t="shared" si="37"/>
        <v>2680.06</v>
      </c>
    </row>
    <row r="2389" spans="1:8" x14ac:dyDescent="0.2">
      <c r="A2389" s="2" t="s">
        <v>2470</v>
      </c>
      <c r="B2389" s="2" t="s">
        <v>2455</v>
      </c>
      <c r="C2389" s="2" t="s">
        <v>48</v>
      </c>
      <c r="D2389" s="3">
        <v>2028</v>
      </c>
      <c r="E2389" s="4" t="s">
        <v>24</v>
      </c>
      <c r="F2389" s="5">
        <v>0.19</v>
      </c>
      <c r="G2389" s="4" t="s">
        <v>25</v>
      </c>
      <c r="H2389" s="6">
        <f t="shared" si="37"/>
        <v>385.32</v>
      </c>
    </row>
    <row r="2390" spans="1:8" x14ac:dyDescent="0.2">
      <c r="A2390" s="2" t="s">
        <v>2471</v>
      </c>
      <c r="B2390" s="2" t="s">
        <v>2455</v>
      </c>
      <c r="C2390" s="2" t="s">
        <v>89</v>
      </c>
      <c r="D2390" s="3">
        <v>2983</v>
      </c>
      <c r="E2390" s="4" t="s">
        <v>30</v>
      </c>
      <c r="F2390" s="5">
        <v>2.37</v>
      </c>
      <c r="G2390" s="4" t="s">
        <v>31</v>
      </c>
      <c r="H2390" s="6">
        <f t="shared" si="37"/>
        <v>7069.71</v>
      </c>
    </row>
    <row r="2391" spans="1:8" x14ac:dyDescent="0.2">
      <c r="A2391" s="2" t="s">
        <v>2472</v>
      </c>
      <c r="B2391" s="2" t="s">
        <v>2455</v>
      </c>
      <c r="C2391" s="2" t="s">
        <v>19</v>
      </c>
      <c r="D2391" s="3">
        <v>2534</v>
      </c>
      <c r="E2391" s="4" t="s">
        <v>20</v>
      </c>
      <c r="F2391" s="5">
        <v>1.1100000000000001</v>
      </c>
      <c r="G2391" s="4" t="s">
        <v>21</v>
      </c>
      <c r="H2391" s="6">
        <f t="shared" si="37"/>
        <v>2812.7400000000002</v>
      </c>
    </row>
    <row r="2392" spans="1:8" x14ac:dyDescent="0.2">
      <c r="A2392" s="2" t="s">
        <v>2473</v>
      </c>
      <c r="B2392" s="2" t="s">
        <v>2455</v>
      </c>
      <c r="C2392" s="2" t="s">
        <v>147</v>
      </c>
      <c r="D2392" s="3">
        <v>295</v>
      </c>
      <c r="E2392" s="4" t="s">
        <v>53</v>
      </c>
      <c r="F2392" s="5">
        <v>14.73</v>
      </c>
      <c r="G2392" s="4" t="s">
        <v>54</v>
      </c>
      <c r="H2392" s="6">
        <f t="shared" si="37"/>
        <v>4345.3500000000004</v>
      </c>
    </row>
    <row r="2393" spans="1:8" x14ac:dyDescent="0.2">
      <c r="A2393" s="2" t="s">
        <v>2474</v>
      </c>
      <c r="B2393" s="2" t="s">
        <v>2455</v>
      </c>
      <c r="C2393" s="2" t="s">
        <v>37</v>
      </c>
      <c r="D2393" s="3">
        <v>1973</v>
      </c>
      <c r="E2393" s="4" t="s">
        <v>38</v>
      </c>
      <c r="F2393" s="5">
        <v>2.76</v>
      </c>
      <c r="G2393" s="4" t="s">
        <v>39</v>
      </c>
      <c r="H2393" s="6">
        <f t="shared" si="37"/>
        <v>5445.48</v>
      </c>
    </row>
    <row r="2394" spans="1:8" x14ac:dyDescent="0.2">
      <c r="A2394" s="2" t="s">
        <v>2475</v>
      </c>
      <c r="B2394" s="2" t="s">
        <v>2455</v>
      </c>
      <c r="C2394" s="2" t="s">
        <v>67</v>
      </c>
      <c r="D2394" s="3">
        <v>2543</v>
      </c>
      <c r="E2394" s="4" t="s">
        <v>24</v>
      </c>
      <c r="F2394" s="5">
        <v>0.49</v>
      </c>
      <c r="G2394" s="4" t="s">
        <v>25</v>
      </c>
      <c r="H2394" s="6">
        <f t="shared" si="37"/>
        <v>1246.07</v>
      </c>
    </row>
    <row r="2395" spans="1:8" x14ac:dyDescent="0.2">
      <c r="A2395" s="2" t="s">
        <v>2476</v>
      </c>
      <c r="B2395" s="2" t="s">
        <v>2455</v>
      </c>
      <c r="C2395" s="2" t="s">
        <v>19</v>
      </c>
      <c r="D2395" s="3">
        <v>1009</v>
      </c>
      <c r="E2395" s="4" t="s">
        <v>20</v>
      </c>
      <c r="F2395" s="5">
        <v>1.42</v>
      </c>
      <c r="G2395" s="4" t="s">
        <v>21</v>
      </c>
      <c r="H2395" s="6">
        <f t="shared" si="37"/>
        <v>1432.78</v>
      </c>
    </row>
    <row r="2396" spans="1:8" x14ac:dyDescent="0.2">
      <c r="A2396" s="2" t="s">
        <v>2477</v>
      </c>
      <c r="B2396" s="2" t="s">
        <v>2455</v>
      </c>
      <c r="C2396" s="2" t="s">
        <v>42</v>
      </c>
      <c r="D2396" s="3">
        <v>3634</v>
      </c>
      <c r="E2396" s="4" t="s">
        <v>24</v>
      </c>
      <c r="F2396" s="5">
        <v>4.67</v>
      </c>
      <c r="G2396" s="4" t="s">
        <v>25</v>
      </c>
      <c r="H2396" s="6">
        <f t="shared" si="37"/>
        <v>16970.78</v>
      </c>
    </row>
    <row r="2397" spans="1:8" x14ac:dyDescent="0.2">
      <c r="A2397" s="2" t="s">
        <v>2478</v>
      </c>
      <c r="B2397" s="2" t="s">
        <v>2455</v>
      </c>
      <c r="C2397" s="2" t="s">
        <v>67</v>
      </c>
      <c r="D2397" s="3">
        <v>2103</v>
      </c>
      <c r="E2397" s="4" t="s">
        <v>24</v>
      </c>
      <c r="F2397" s="5">
        <v>0.39</v>
      </c>
      <c r="G2397" s="4" t="s">
        <v>25</v>
      </c>
      <c r="H2397" s="6">
        <f t="shared" si="37"/>
        <v>820.17000000000007</v>
      </c>
    </row>
    <row r="2398" spans="1:8" x14ac:dyDescent="0.2">
      <c r="A2398" s="2" t="s">
        <v>2479</v>
      </c>
      <c r="B2398" s="2" t="s">
        <v>2455</v>
      </c>
      <c r="C2398" s="2" t="s">
        <v>42</v>
      </c>
      <c r="D2398" s="3">
        <v>2446</v>
      </c>
      <c r="E2398" s="4" t="s">
        <v>24</v>
      </c>
      <c r="F2398" s="5">
        <v>4.13</v>
      </c>
      <c r="G2398" s="4" t="s">
        <v>25</v>
      </c>
      <c r="H2398" s="6">
        <f t="shared" si="37"/>
        <v>10101.98</v>
      </c>
    </row>
    <row r="2399" spans="1:8" x14ac:dyDescent="0.2">
      <c r="A2399" s="2" t="s">
        <v>2480</v>
      </c>
      <c r="B2399" s="2" t="s">
        <v>2455</v>
      </c>
      <c r="C2399" s="2" t="s">
        <v>118</v>
      </c>
      <c r="D2399" s="3">
        <v>3605</v>
      </c>
      <c r="E2399" s="4" t="s">
        <v>24</v>
      </c>
      <c r="F2399" s="5">
        <v>0.84</v>
      </c>
      <c r="G2399" s="4" t="s">
        <v>25</v>
      </c>
      <c r="H2399" s="6">
        <f t="shared" si="37"/>
        <v>3028.2</v>
      </c>
    </row>
    <row r="2400" spans="1:8" x14ac:dyDescent="0.2">
      <c r="A2400" s="2" t="s">
        <v>2481</v>
      </c>
      <c r="B2400" s="2" t="s">
        <v>2455</v>
      </c>
      <c r="C2400" s="2" t="s">
        <v>52</v>
      </c>
      <c r="D2400" s="3">
        <v>287</v>
      </c>
      <c r="E2400" s="4" t="s">
        <v>53</v>
      </c>
      <c r="F2400" s="5">
        <v>10.37</v>
      </c>
      <c r="G2400" s="4" t="s">
        <v>54</v>
      </c>
      <c r="H2400" s="6">
        <f t="shared" si="37"/>
        <v>2976.1899999999996</v>
      </c>
    </row>
    <row r="2401" spans="1:8" x14ac:dyDescent="0.2">
      <c r="A2401" s="2" t="s">
        <v>2482</v>
      </c>
      <c r="B2401" s="2" t="s">
        <v>2455</v>
      </c>
      <c r="C2401" s="2" t="s">
        <v>27</v>
      </c>
      <c r="D2401" s="3">
        <v>4037</v>
      </c>
      <c r="E2401" s="4" t="s">
        <v>20</v>
      </c>
      <c r="F2401" s="5">
        <v>1.77</v>
      </c>
      <c r="G2401" s="4" t="s">
        <v>21</v>
      </c>
      <c r="H2401" s="6">
        <f t="shared" si="37"/>
        <v>7145.49</v>
      </c>
    </row>
    <row r="2402" spans="1:8" x14ac:dyDescent="0.2">
      <c r="A2402" s="2" t="s">
        <v>2483</v>
      </c>
      <c r="B2402" s="2" t="s">
        <v>2455</v>
      </c>
      <c r="C2402" s="2" t="s">
        <v>52</v>
      </c>
      <c r="D2402" s="3">
        <v>2735</v>
      </c>
      <c r="E2402" s="4" t="s">
        <v>53</v>
      </c>
      <c r="F2402" s="5">
        <v>12.59</v>
      </c>
      <c r="G2402" s="4" t="s">
        <v>54</v>
      </c>
      <c r="H2402" s="6">
        <f t="shared" si="37"/>
        <v>34433.65</v>
      </c>
    </row>
    <row r="2403" spans="1:8" x14ac:dyDescent="0.2">
      <c r="A2403" s="2" t="s">
        <v>2484</v>
      </c>
      <c r="B2403" s="2" t="s">
        <v>2455</v>
      </c>
      <c r="C2403" s="2" t="s">
        <v>50</v>
      </c>
      <c r="D2403" s="3">
        <v>1323</v>
      </c>
      <c r="E2403" s="4" t="s">
        <v>20</v>
      </c>
      <c r="F2403" s="5">
        <v>1.1200000000000001</v>
      </c>
      <c r="G2403" s="4" t="s">
        <v>21</v>
      </c>
      <c r="H2403" s="6">
        <f t="shared" si="37"/>
        <v>1481.7600000000002</v>
      </c>
    </row>
    <row r="2404" spans="1:8" x14ac:dyDescent="0.2">
      <c r="A2404" s="2" t="s">
        <v>2485</v>
      </c>
      <c r="B2404" s="2" t="s">
        <v>2455</v>
      </c>
      <c r="C2404" s="2" t="s">
        <v>78</v>
      </c>
      <c r="D2404" s="3">
        <v>553</v>
      </c>
      <c r="E2404" s="4" t="s">
        <v>38</v>
      </c>
      <c r="F2404" s="5">
        <v>2.1</v>
      </c>
      <c r="G2404" s="4" t="s">
        <v>39</v>
      </c>
      <c r="H2404" s="6">
        <f t="shared" si="37"/>
        <v>1161.3</v>
      </c>
    </row>
    <row r="2405" spans="1:8" x14ac:dyDescent="0.2">
      <c r="A2405" s="2" t="s">
        <v>2486</v>
      </c>
      <c r="B2405" s="2" t="s">
        <v>2455</v>
      </c>
      <c r="C2405" s="2" t="s">
        <v>147</v>
      </c>
      <c r="D2405" s="3">
        <v>4496</v>
      </c>
      <c r="E2405" s="4" t="s">
        <v>53</v>
      </c>
      <c r="F2405" s="5">
        <v>13.9</v>
      </c>
      <c r="G2405" s="4" t="s">
        <v>54</v>
      </c>
      <c r="H2405" s="6">
        <f t="shared" si="37"/>
        <v>62494.400000000001</v>
      </c>
    </row>
    <row r="2406" spans="1:8" x14ac:dyDescent="0.2">
      <c r="A2406" s="2" t="s">
        <v>2487</v>
      </c>
      <c r="B2406" s="2" t="s">
        <v>2455</v>
      </c>
      <c r="C2406" s="2" t="s">
        <v>23</v>
      </c>
      <c r="D2406" s="3">
        <v>234</v>
      </c>
      <c r="E2406" s="4" t="s">
        <v>24</v>
      </c>
      <c r="F2406" s="5">
        <v>16.57</v>
      </c>
      <c r="G2406" s="4" t="s">
        <v>25</v>
      </c>
      <c r="H2406" s="6">
        <f t="shared" si="37"/>
        <v>3877.38</v>
      </c>
    </row>
    <row r="2407" spans="1:8" x14ac:dyDescent="0.2">
      <c r="A2407" s="2" t="s">
        <v>2488</v>
      </c>
      <c r="B2407" s="2" t="s">
        <v>2455</v>
      </c>
      <c r="C2407" s="2" t="s">
        <v>118</v>
      </c>
      <c r="D2407" s="3">
        <v>3642</v>
      </c>
      <c r="E2407" s="4" t="s">
        <v>24</v>
      </c>
      <c r="F2407" s="5">
        <v>0.95</v>
      </c>
      <c r="G2407" s="4" t="s">
        <v>25</v>
      </c>
      <c r="H2407" s="6">
        <f t="shared" si="37"/>
        <v>3459.8999999999996</v>
      </c>
    </row>
    <row r="2408" spans="1:8" x14ac:dyDescent="0.2">
      <c r="A2408" s="2" t="s">
        <v>2489</v>
      </c>
      <c r="B2408" s="2" t="s">
        <v>2455</v>
      </c>
      <c r="C2408" s="2" t="s">
        <v>89</v>
      </c>
      <c r="D2408" s="3">
        <v>35</v>
      </c>
      <c r="E2408" s="4" t="s">
        <v>30</v>
      </c>
      <c r="F2408" s="5">
        <v>2.2799999999999998</v>
      </c>
      <c r="G2408" s="4" t="s">
        <v>31</v>
      </c>
      <c r="H2408" s="6">
        <f t="shared" si="37"/>
        <v>79.8</v>
      </c>
    </row>
    <row r="2409" spans="1:8" x14ac:dyDescent="0.2">
      <c r="A2409" s="2" t="s">
        <v>2490</v>
      </c>
      <c r="B2409" s="2" t="s">
        <v>2455</v>
      </c>
      <c r="C2409" s="2" t="s">
        <v>71</v>
      </c>
      <c r="D2409" s="3">
        <v>2580</v>
      </c>
      <c r="E2409" s="4" t="s">
        <v>72</v>
      </c>
      <c r="F2409" s="5">
        <v>2745.49</v>
      </c>
      <c r="G2409" s="4" t="s">
        <v>73</v>
      </c>
      <c r="H2409" s="6">
        <f t="shared" si="37"/>
        <v>7083364.1999999993</v>
      </c>
    </row>
    <row r="2410" spans="1:8" x14ac:dyDescent="0.2">
      <c r="A2410" s="2" t="s">
        <v>2491</v>
      </c>
      <c r="B2410" s="2" t="s">
        <v>2455</v>
      </c>
      <c r="C2410" s="2" t="s">
        <v>50</v>
      </c>
      <c r="D2410" s="3">
        <v>1302</v>
      </c>
      <c r="E2410" s="4" t="s">
        <v>20</v>
      </c>
      <c r="F2410" s="5">
        <v>0.85</v>
      </c>
      <c r="G2410" s="4" t="s">
        <v>21</v>
      </c>
      <c r="H2410" s="6">
        <f t="shared" si="37"/>
        <v>1106.7</v>
      </c>
    </row>
    <row r="2411" spans="1:8" x14ac:dyDescent="0.2">
      <c r="A2411" s="2" t="s">
        <v>2492</v>
      </c>
      <c r="B2411" s="2" t="s">
        <v>2455</v>
      </c>
      <c r="C2411" s="2" t="s">
        <v>89</v>
      </c>
      <c r="D2411" s="3">
        <v>4876</v>
      </c>
      <c r="E2411" s="4" t="s">
        <v>30</v>
      </c>
      <c r="F2411" s="5">
        <v>2.62</v>
      </c>
      <c r="G2411" s="4" t="s">
        <v>31</v>
      </c>
      <c r="H2411" s="6">
        <f t="shared" si="37"/>
        <v>12775.12</v>
      </c>
    </row>
    <row r="2412" spans="1:8" x14ac:dyDescent="0.2">
      <c r="A2412" s="2" t="s">
        <v>2493</v>
      </c>
      <c r="B2412" s="2" t="s">
        <v>2455</v>
      </c>
      <c r="C2412" s="2" t="s">
        <v>57</v>
      </c>
      <c r="D2412" s="3">
        <v>3708</v>
      </c>
      <c r="E2412" s="4" t="s">
        <v>20</v>
      </c>
      <c r="F2412" s="5">
        <v>0.79</v>
      </c>
      <c r="G2412" s="4" t="s">
        <v>21</v>
      </c>
      <c r="H2412" s="6">
        <f t="shared" si="37"/>
        <v>2929.32</v>
      </c>
    </row>
    <row r="2413" spans="1:8" x14ac:dyDescent="0.2">
      <c r="A2413" s="2" t="s">
        <v>2494</v>
      </c>
      <c r="B2413" s="2" t="s">
        <v>2455</v>
      </c>
      <c r="C2413" s="2" t="s">
        <v>89</v>
      </c>
      <c r="D2413" s="3">
        <v>2145</v>
      </c>
      <c r="E2413" s="4" t="s">
        <v>30</v>
      </c>
      <c r="F2413" s="5">
        <v>2.0099999999999998</v>
      </c>
      <c r="G2413" s="4" t="s">
        <v>31</v>
      </c>
      <c r="H2413" s="6">
        <f t="shared" si="37"/>
        <v>4311.45</v>
      </c>
    </row>
    <row r="2414" spans="1:8" x14ac:dyDescent="0.2">
      <c r="A2414" s="2" t="s">
        <v>2495</v>
      </c>
      <c r="B2414" s="2" t="s">
        <v>2455</v>
      </c>
      <c r="C2414" s="2" t="s">
        <v>46</v>
      </c>
      <c r="D2414" s="3">
        <v>2693</v>
      </c>
      <c r="E2414" s="4" t="s">
        <v>20</v>
      </c>
      <c r="F2414" s="5">
        <v>3.6</v>
      </c>
      <c r="G2414" s="4" t="s">
        <v>21</v>
      </c>
      <c r="H2414" s="6">
        <f t="shared" si="37"/>
        <v>9694.8000000000011</v>
      </c>
    </row>
    <row r="2415" spans="1:8" x14ac:dyDescent="0.2">
      <c r="A2415" s="2" t="s">
        <v>2496</v>
      </c>
      <c r="B2415" s="2" t="s">
        <v>2455</v>
      </c>
      <c r="C2415" s="2" t="s">
        <v>44</v>
      </c>
      <c r="D2415" s="3">
        <v>701</v>
      </c>
      <c r="E2415" s="4" t="s">
        <v>24</v>
      </c>
      <c r="F2415" s="5">
        <v>1.19</v>
      </c>
      <c r="G2415" s="4" t="s">
        <v>25</v>
      </c>
      <c r="H2415" s="6">
        <f t="shared" si="37"/>
        <v>834.18999999999994</v>
      </c>
    </row>
    <row r="2416" spans="1:8" x14ac:dyDescent="0.2">
      <c r="A2416" s="2" t="s">
        <v>2497</v>
      </c>
      <c r="B2416" s="2" t="s">
        <v>2455</v>
      </c>
      <c r="C2416" s="2" t="s">
        <v>118</v>
      </c>
      <c r="D2416" s="3">
        <v>3233</v>
      </c>
      <c r="E2416" s="4" t="s">
        <v>24</v>
      </c>
      <c r="F2416" s="5">
        <v>1.01</v>
      </c>
      <c r="G2416" s="4" t="s">
        <v>25</v>
      </c>
      <c r="H2416" s="6">
        <f t="shared" si="37"/>
        <v>3265.33</v>
      </c>
    </row>
    <row r="2417" spans="1:8" x14ac:dyDescent="0.2">
      <c r="A2417" s="2" t="s">
        <v>2498</v>
      </c>
      <c r="B2417" s="2" t="s">
        <v>2455</v>
      </c>
      <c r="C2417" s="2" t="s">
        <v>46</v>
      </c>
      <c r="D2417" s="3">
        <v>1848</v>
      </c>
      <c r="E2417" s="4" t="s">
        <v>20</v>
      </c>
      <c r="F2417" s="5">
        <v>2.04</v>
      </c>
      <c r="G2417" s="4" t="s">
        <v>21</v>
      </c>
      <c r="H2417" s="6">
        <f t="shared" si="37"/>
        <v>3769.92</v>
      </c>
    </row>
    <row r="2418" spans="1:8" x14ac:dyDescent="0.2">
      <c r="A2418" s="2" t="s">
        <v>2499</v>
      </c>
      <c r="B2418" s="2" t="s">
        <v>2455</v>
      </c>
      <c r="C2418" s="2" t="s">
        <v>33</v>
      </c>
      <c r="D2418" s="3">
        <v>4585</v>
      </c>
      <c r="E2418" s="4" t="s">
        <v>34</v>
      </c>
      <c r="F2418" s="5">
        <v>5.12</v>
      </c>
      <c r="G2418" s="4" t="s">
        <v>35</v>
      </c>
      <c r="H2418" s="6">
        <f t="shared" si="37"/>
        <v>23475.200000000001</v>
      </c>
    </row>
    <row r="2419" spans="1:8" x14ac:dyDescent="0.2">
      <c r="A2419" s="2" t="s">
        <v>2500</v>
      </c>
      <c r="B2419" s="2" t="s">
        <v>2455</v>
      </c>
      <c r="C2419" s="2" t="s">
        <v>42</v>
      </c>
      <c r="D2419" s="3">
        <v>738</v>
      </c>
      <c r="E2419" s="4" t="s">
        <v>24</v>
      </c>
      <c r="F2419" s="5">
        <v>6.42</v>
      </c>
      <c r="G2419" s="4" t="s">
        <v>25</v>
      </c>
      <c r="H2419" s="6">
        <f t="shared" si="37"/>
        <v>4737.96</v>
      </c>
    </row>
    <row r="2420" spans="1:8" x14ac:dyDescent="0.2">
      <c r="A2420" s="2" t="s">
        <v>2501</v>
      </c>
      <c r="B2420" s="2" t="s">
        <v>2455</v>
      </c>
      <c r="C2420" s="2" t="s">
        <v>44</v>
      </c>
      <c r="D2420" s="3">
        <v>2154</v>
      </c>
      <c r="E2420" s="4" t="s">
        <v>24</v>
      </c>
      <c r="F2420" s="5">
        <v>1.39</v>
      </c>
      <c r="G2420" s="4" t="s">
        <v>25</v>
      </c>
      <c r="H2420" s="6">
        <f t="shared" si="37"/>
        <v>2994.06</v>
      </c>
    </row>
    <row r="2421" spans="1:8" x14ac:dyDescent="0.2">
      <c r="A2421" s="2" t="s">
        <v>2502</v>
      </c>
      <c r="B2421" s="2" t="s">
        <v>2455</v>
      </c>
      <c r="C2421" s="2" t="s">
        <v>118</v>
      </c>
      <c r="D2421" s="3">
        <v>417</v>
      </c>
      <c r="E2421" s="4" t="s">
        <v>24</v>
      </c>
      <c r="F2421" s="5">
        <v>0.68</v>
      </c>
      <c r="G2421" s="4" t="s">
        <v>25</v>
      </c>
      <c r="H2421" s="6">
        <f t="shared" si="37"/>
        <v>283.56</v>
      </c>
    </row>
    <row r="2422" spans="1:8" x14ac:dyDescent="0.2">
      <c r="A2422" s="2" t="s">
        <v>2503</v>
      </c>
      <c r="B2422" s="2" t="s">
        <v>2455</v>
      </c>
      <c r="C2422" s="2" t="s">
        <v>52</v>
      </c>
      <c r="D2422" s="3">
        <v>4928</v>
      </c>
      <c r="E2422" s="4" t="s">
        <v>53</v>
      </c>
      <c r="F2422" s="5">
        <v>10.3</v>
      </c>
      <c r="G2422" s="4" t="s">
        <v>54</v>
      </c>
      <c r="H2422" s="6">
        <f t="shared" si="37"/>
        <v>50758.400000000001</v>
      </c>
    </row>
    <row r="2423" spans="1:8" x14ac:dyDescent="0.2">
      <c r="A2423" s="2" t="s">
        <v>2504</v>
      </c>
      <c r="B2423" s="2" t="s">
        <v>2455</v>
      </c>
      <c r="C2423" s="2" t="s">
        <v>27</v>
      </c>
      <c r="D2423" s="3">
        <v>3024</v>
      </c>
      <c r="E2423" s="4" t="s">
        <v>20</v>
      </c>
      <c r="F2423" s="5">
        <v>1.4</v>
      </c>
      <c r="G2423" s="4" t="s">
        <v>21</v>
      </c>
      <c r="H2423" s="6">
        <f t="shared" si="37"/>
        <v>4233.5999999999995</v>
      </c>
    </row>
    <row r="2424" spans="1:8" x14ac:dyDescent="0.2">
      <c r="A2424" s="2" t="s">
        <v>2505</v>
      </c>
      <c r="B2424" s="2" t="s">
        <v>2455</v>
      </c>
      <c r="C2424" s="2" t="s">
        <v>46</v>
      </c>
      <c r="D2424" s="3">
        <v>971</v>
      </c>
      <c r="E2424" s="4" t="s">
        <v>20</v>
      </c>
      <c r="F2424" s="5">
        <v>2.0299999999999998</v>
      </c>
      <c r="G2424" s="4" t="s">
        <v>21</v>
      </c>
      <c r="H2424" s="6">
        <f t="shared" si="37"/>
        <v>1971.1299999999999</v>
      </c>
    </row>
    <row r="2425" spans="1:8" x14ac:dyDescent="0.2">
      <c r="A2425" s="2" t="s">
        <v>2506</v>
      </c>
      <c r="B2425" s="2" t="s">
        <v>2455</v>
      </c>
      <c r="C2425" s="2" t="s">
        <v>78</v>
      </c>
      <c r="D2425" s="3">
        <v>3574</v>
      </c>
      <c r="E2425" s="4" t="s">
        <v>38</v>
      </c>
      <c r="F2425" s="5">
        <v>2.81</v>
      </c>
      <c r="G2425" s="4" t="s">
        <v>39</v>
      </c>
      <c r="H2425" s="6">
        <f t="shared" si="37"/>
        <v>10042.94</v>
      </c>
    </row>
    <row r="2426" spans="1:8" x14ac:dyDescent="0.2">
      <c r="A2426" s="2" t="s">
        <v>2507</v>
      </c>
      <c r="B2426" s="2" t="s">
        <v>2455</v>
      </c>
      <c r="C2426" s="2" t="s">
        <v>23</v>
      </c>
      <c r="D2426" s="3">
        <v>4058</v>
      </c>
      <c r="E2426" s="4" t="s">
        <v>24</v>
      </c>
      <c r="F2426" s="5">
        <v>12.71</v>
      </c>
      <c r="G2426" s="4" t="s">
        <v>25</v>
      </c>
      <c r="H2426" s="6">
        <f t="shared" si="37"/>
        <v>51577.18</v>
      </c>
    </row>
    <row r="2427" spans="1:8" x14ac:dyDescent="0.2">
      <c r="A2427" s="2" t="s">
        <v>2508</v>
      </c>
      <c r="B2427" s="2" t="s">
        <v>2455</v>
      </c>
      <c r="C2427" s="2" t="s">
        <v>44</v>
      </c>
      <c r="D2427" s="3">
        <v>1570</v>
      </c>
      <c r="E2427" s="4" t="s">
        <v>24</v>
      </c>
      <c r="F2427" s="5">
        <v>1.56</v>
      </c>
      <c r="G2427" s="4" t="s">
        <v>25</v>
      </c>
      <c r="H2427" s="6">
        <f t="shared" si="37"/>
        <v>2449.2000000000003</v>
      </c>
    </row>
    <row r="2428" spans="1:8" x14ac:dyDescent="0.2">
      <c r="A2428" s="2" t="s">
        <v>2509</v>
      </c>
      <c r="B2428" s="2" t="s">
        <v>2455</v>
      </c>
      <c r="C2428" s="2" t="s">
        <v>86</v>
      </c>
      <c r="D2428" s="3">
        <v>2368</v>
      </c>
      <c r="E2428" s="4" t="s">
        <v>72</v>
      </c>
      <c r="F2428" s="5">
        <v>8845.02</v>
      </c>
      <c r="G2428" s="4" t="s">
        <v>73</v>
      </c>
      <c r="H2428" s="6">
        <f t="shared" si="37"/>
        <v>20945007.359999999</v>
      </c>
    </row>
    <row r="2429" spans="1:8" x14ac:dyDescent="0.2">
      <c r="A2429" s="2" t="s">
        <v>2510</v>
      </c>
      <c r="B2429" s="2" t="s">
        <v>2455</v>
      </c>
      <c r="C2429" s="2" t="s">
        <v>67</v>
      </c>
      <c r="D2429" s="3">
        <v>1076</v>
      </c>
      <c r="E2429" s="4" t="s">
        <v>24</v>
      </c>
      <c r="F2429" s="5">
        <v>0.43</v>
      </c>
      <c r="G2429" s="4" t="s">
        <v>25</v>
      </c>
      <c r="H2429" s="6">
        <f t="shared" si="37"/>
        <v>462.68</v>
      </c>
    </row>
    <row r="2430" spans="1:8" x14ac:dyDescent="0.2">
      <c r="A2430" s="2" t="s">
        <v>2511</v>
      </c>
      <c r="B2430" s="2" t="s">
        <v>2455</v>
      </c>
      <c r="C2430" s="2" t="s">
        <v>44</v>
      </c>
      <c r="D2430" s="3">
        <v>4925</v>
      </c>
      <c r="E2430" s="4" t="s">
        <v>24</v>
      </c>
      <c r="F2430" s="5">
        <v>1.05</v>
      </c>
      <c r="G2430" s="4" t="s">
        <v>25</v>
      </c>
      <c r="H2430" s="6">
        <f t="shared" si="37"/>
        <v>5171.25</v>
      </c>
    </row>
    <row r="2431" spans="1:8" x14ac:dyDescent="0.2">
      <c r="A2431" s="2" t="s">
        <v>2512</v>
      </c>
      <c r="B2431" s="2" t="s">
        <v>2455</v>
      </c>
      <c r="C2431" s="2" t="s">
        <v>71</v>
      </c>
      <c r="D2431" s="3">
        <v>1561</v>
      </c>
      <c r="E2431" s="4" t="s">
        <v>72</v>
      </c>
      <c r="F2431" s="5">
        <v>2651</v>
      </c>
      <c r="G2431" s="4" t="s">
        <v>73</v>
      </c>
      <c r="H2431" s="6">
        <f t="shared" si="37"/>
        <v>4138211</v>
      </c>
    </row>
    <row r="2432" spans="1:8" x14ac:dyDescent="0.2">
      <c r="A2432" s="2" t="s">
        <v>2513</v>
      </c>
      <c r="B2432" s="2" t="s">
        <v>2455</v>
      </c>
      <c r="C2432" s="2" t="s">
        <v>52</v>
      </c>
      <c r="D2432" s="3">
        <v>1205</v>
      </c>
      <c r="E2432" s="4" t="s">
        <v>53</v>
      </c>
      <c r="F2432" s="5">
        <v>9.14</v>
      </c>
      <c r="G2432" s="4" t="s">
        <v>54</v>
      </c>
      <c r="H2432" s="6">
        <f t="shared" si="37"/>
        <v>11013.7</v>
      </c>
    </row>
    <row r="2433" spans="1:8" x14ac:dyDescent="0.2">
      <c r="A2433" s="2" t="s">
        <v>2514</v>
      </c>
      <c r="B2433" s="2" t="s">
        <v>2455</v>
      </c>
      <c r="C2433" s="2" t="s">
        <v>86</v>
      </c>
      <c r="D2433" s="3">
        <v>1939</v>
      </c>
      <c r="E2433" s="4" t="s">
        <v>72</v>
      </c>
      <c r="F2433" s="5">
        <v>8664.75</v>
      </c>
      <c r="G2433" s="4" t="s">
        <v>73</v>
      </c>
      <c r="H2433" s="6">
        <f t="shared" si="37"/>
        <v>16800950.25</v>
      </c>
    </row>
    <row r="2434" spans="1:8" x14ac:dyDescent="0.2">
      <c r="A2434" s="2" t="s">
        <v>2515</v>
      </c>
      <c r="B2434" s="2" t="s">
        <v>2455</v>
      </c>
      <c r="C2434" s="2" t="s">
        <v>42</v>
      </c>
      <c r="D2434" s="3">
        <v>3038</v>
      </c>
      <c r="E2434" s="4" t="s">
        <v>24</v>
      </c>
      <c r="F2434" s="5">
        <v>5.25</v>
      </c>
      <c r="G2434" s="4" t="s">
        <v>25</v>
      </c>
      <c r="H2434" s="6">
        <f t="shared" ref="H2434:H2497" si="38">D2434*F2434</f>
        <v>15949.5</v>
      </c>
    </row>
    <row r="2435" spans="1:8" x14ac:dyDescent="0.2">
      <c r="A2435" s="2" t="s">
        <v>2516</v>
      </c>
      <c r="B2435" s="2" t="s">
        <v>2455</v>
      </c>
      <c r="C2435" s="2" t="s">
        <v>23</v>
      </c>
      <c r="D2435" s="3">
        <v>712</v>
      </c>
      <c r="E2435" s="4" t="s">
        <v>24</v>
      </c>
      <c r="F2435" s="5">
        <v>12.06</v>
      </c>
      <c r="G2435" s="4" t="s">
        <v>25</v>
      </c>
      <c r="H2435" s="6">
        <f t="shared" si="38"/>
        <v>8586.7200000000012</v>
      </c>
    </row>
    <row r="2436" spans="1:8" x14ac:dyDescent="0.2">
      <c r="A2436" s="2" t="s">
        <v>2517</v>
      </c>
      <c r="B2436" s="2" t="s">
        <v>2455</v>
      </c>
      <c r="C2436" s="2" t="s">
        <v>89</v>
      </c>
      <c r="D2436" s="3">
        <v>2658</v>
      </c>
      <c r="E2436" s="4" t="s">
        <v>30</v>
      </c>
      <c r="F2436" s="5">
        <v>2.97</v>
      </c>
      <c r="G2436" s="4" t="s">
        <v>31</v>
      </c>
      <c r="H2436" s="6">
        <f t="shared" si="38"/>
        <v>7894.26</v>
      </c>
    </row>
    <row r="2437" spans="1:8" x14ac:dyDescent="0.2">
      <c r="A2437" s="2" t="s">
        <v>2518</v>
      </c>
      <c r="B2437" s="2" t="s">
        <v>2455</v>
      </c>
      <c r="C2437" s="2" t="s">
        <v>67</v>
      </c>
      <c r="D2437" s="3">
        <v>1748</v>
      </c>
      <c r="E2437" s="4" t="s">
        <v>24</v>
      </c>
      <c r="F2437" s="5">
        <v>0.51</v>
      </c>
      <c r="G2437" s="4" t="s">
        <v>25</v>
      </c>
      <c r="H2437" s="6">
        <f t="shared" si="38"/>
        <v>891.48</v>
      </c>
    </row>
    <row r="2438" spans="1:8" x14ac:dyDescent="0.2">
      <c r="A2438" s="2" t="s">
        <v>2519</v>
      </c>
      <c r="B2438" s="2" t="s">
        <v>2455</v>
      </c>
      <c r="C2438" s="2" t="s">
        <v>52</v>
      </c>
      <c r="D2438" s="3">
        <v>4902</v>
      </c>
      <c r="E2438" s="4" t="s">
        <v>53</v>
      </c>
      <c r="F2438" s="5">
        <v>10.28</v>
      </c>
      <c r="G2438" s="4" t="s">
        <v>54</v>
      </c>
      <c r="H2438" s="6">
        <f t="shared" si="38"/>
        <v>50392.56</v>
      </c>
    </row>
    <row r="2439" spans="1:8" x14ac:dyDescent="0.2">
      <c r="A2439" s="2" t="s">
        <v>2520</v>
      </c>
      <c r="B2439" s="2" t="s">
        <v>2455</v>
      </c>
      <c r="C2439" s="2" t="s">
        <v>50</v>
      </c>
      <c r="D2439" s="3">
        <v>4572</v>
      </c>
      <c r="E2439" s="4" t="s">
        <v>20</v>
      </c>
      <c r="F2439" s="5">
        <v>0.74</v>
      </c>
      <c r="G2439" s="4" t="s">
        <v>21</v>
      </c>
      <c r="H2439" s="6">
        <f t="shared" si="38"/>
        <v>3383.2799999999997</v>
      </c>
    </row>
    <row r="2440" spans="1:8" x14ac:dyDescent="0.2">
      <c r="A2440" s="2" t="s">
        <v>2521</v>
      </c>
      <c r="B2440" s="2" t="s">
        <v>2455</v>
      </c>
      <c r="C2440" s="2" t="s">
        <v>57</v>
      </c>
      <c r="D2440" s="3">
        <v>1933</v>
      </c>
      <c r="E2440" s="4" t="s">
        <v>20</v>
      </c>
      <c r="F2440" s="5">
        <v>0.79</v>
      </c>
      <c r="G2440" s="4" t="s">
        <v>21</v>
      </c>
      <c r="H2440" s="6">
        <f t="shared" si="38"/>
        <v>1527.0700000000002</v>
      </c>
    </row>
    <row r="2441" spans="1:8" x14ac:dyDescent="0.2">
      <c r="A2441" s="2" t="s">
        <v>2522</v>
      </c>
      <c r="B2441" s="2" t="s">
        <v>2455</v>
      </c>
      <c r="C2441" s="2" t="s">
        <v>19</v>
      </c>
      <c r="D2441" s="3">
        <v>4977</v>
      </c>
      <c r="E2441" s="4" t="s">
        <v>20</v>
      </c>
      <c r="F2441" s="5">
        <v>1.66</v>
      </c>
      <c r="G2441" s="4" t="s">
        <v>21</v>
      </c>
      <c r="H2441" s="6">
        <f t="shared" si="38"/>
        <v>8261.82</v>
      </c>
    </row>
    <row r="2442" spans="1:8" x14ac:dyDescent="0.2">
      <c r="A2442" s="2" t="s">
        <v>2523</v>
      </c>
      <c r="B2442" s="2" t="s">
        <v>2455</v>
      </c>
      <c r="C2442" s="2" t="s">
        <v>147</v>
      </c>
      <c r="D2442" s="3">
        <v>382</v>
      </c>
      <c r="E2442" s="4" t="s">
        <v>53</v>
      </c>
      <c r="F2442" s="5">
        <v>8.0399999999999991</v>
      </c>
      <c r="G2442" s="4" t="s">
        <v>54</v>
      </c>
      <c r="H2442" s="6">
        <f t="shared" si="38"/>
        <v>3071.2799999999997</v>
      </c>
    </row>
    <row r="2443" spans="1:8" x14ac:dyDescent="0.2">
      <c r="A2443" s="2" t="s">
        <v>2524</v>
      </c>
      <c r="B2443" s="2" t="s">
        <v>2455</v>
      </c>
      <c r="C2443" s="2" t="s">
        <v>78</v>
      </c>
      <c r="D2443" s="3">
        <v>3130</v>
      </c>
      <c r="E2443" s="4" t="s">
        <v>38</v>
      </c>
      <c r="F2443" s="5">
        <v>2.0099999999999998</v>
      </c>
      <c r="G2443" s="4" t="s">
        <v>39</v>
      </c>
      <c r="H2443" s="6">
        <f t="shared" si="38"/>
        <v>6291.2999999999993</v>
      </c>
    </row>
    <row r="2444" spans="1:8" x14ac:dyDescent="0.2">
      <c r="A2444" s="2" t="s">
        <v>2525</v>
      </c>
      <c r="B2444" s="2" t="s">
        <v>2455</v>
      </c>
      <c r="C2444" s="2" t="s">
        <v>67</v>
      </c>
      <c r="D2444" s="3">
        <v>3048</v>
      </c>
      <c r="E2444" s="4" t="s">
        <v>24</v>
      </c>
      <c r="F2444" s="5">
        <v>0.34</v>
      </c>
      <c r="G2444" s="4" t="s">
        <v>25</v>
      </c>
      <c r="H2444" s="6">
        <f t="shared" si="38"/>
        <v>1036.3200000000002</v>
      </c>
    </row>
    <row r="2445" spans="1:8" x14ac:dyDescent="0.2">
      <c r="A2445" s="2" t="s">
        <v>2526</v>
      </c>
      <c r="B2445" s="2" t="s">
        <v>2455</v>
      </c>
      <c r="C2445" s="2" t="s">
        <v>29</v>
      </c>
      <c r="D2445" s="3">
        <v>346</v>
      </c>
      <c r="E2445" s="4" t="s">
        <v>30</v>
      </c>
      <c r="F2445" s="5">
        <v>1.7</v>
      </c>
      <c r="G2445" s="4" t="s">
        <v>31</v>
      </c>
      <c r="H2445" s="6">
        <f t="shared" si="38"/>
        <v>588.19999999999993</v>
      </c>
    </row>
    <row r="2446" spans="1:8" x14ac:dyDescent="0.2">
      <c r="A2446" s="2" t="s">
        <v>2527</v>
      </c>
      <c r="B2446" s="2" t="s">
        <v>2455</v>
      </c>
      <c r="C2446" s="2" t="s">
        <v>86</v>
      </c>
      <c r="D2446" s="3">
        <v>1401</v>
      </c>
      <c r="E2446" s="4" t="s">
        <v>72</v>
      </c>
      <c r="F2446" s="5">
        <v>8505.25</v>
      </c>
      <c r="G2446" s="4" t="s">
        <v>73</v>
      </c>
      <c r="H2446" s="6">
        <f t="shared" si="38"/>
        <v>11915855.25</v>
      </c>
    </row>
    <row r="2447" spans="1:8" x14ac:dyDescent="0.2">
      <c r="A2447" s="2" t="s">
        <v>2528</v>
      </c>
      <c r="B2447" s="2" t="s">
        <v>2455</v>
      </c>
      <c r="C2447" s="2" t="s">
        <v>57</v>
      </c>
      <c r="D2447" s="3">
        <v>3844</v>
      </c>
      <c r="E2447" s="4" t="s">
        <v>20</v>
      </c>
      <c r="F2447" s="5">
        <v>0.65</v>
      </c>
      <c r="G2447" s="4" t="s">
        <v>21</v>
      </c>
      <c r="H2447" s="6">
        <f t="shared" si="38"/>
        <v>2498.6</v>
      </c>
    </row>
    <row r="2448" spans="1:8" x14ac:dyDescent="0.2">
      <c r="A2448" s="2" t="s">
        <v>2529</v>
      </c>
      <c r="B2448" s="2" t="s">
        <v>2455</v>
      </c>
      <c r="C2448" s="2" t="s">
        <v>57</v>
      </c>
      <c r="D2448" s="3">
        <v>4355</v>
      </c>
      <c r="E2448" s="4" t="s">
        <v>20</v>
      </c>
      <c r="F2448" s="5">
        <v>0.77</v>
      </c>
      <c r="G2448" s="4" t="s">
        <v>21</v>
      </c>
      <c r="H2448" s="6">
        <f t="shared" si="38"/>
        <v>3353.35</v>
      </c>
    </row>
    <row r="2449" spans="1:8" x14ac:dyDescent="0.2">
      <c r="A2449" s="2" t="s">
        <v>2530</v>
      </c>
      <c r="B2449" s="2" t="s">
        <v>2455</v>
      </c>
      <c r="C2449" s="2" t="s">
        <v>86</v>
      </c>
      <c r="D2449" s="3">
        <v>967</v>
      </c>
      <c r="E2449" s="4" t="s">
        <v>72</v>
      </c>
      <c r="F2449" s="5">
        <v>8238.58</v>
      </c>
      <c r="G2449" s="4" t="s">
        <v>73</v>
      </c>
      <c r="H2449" s="6">
        <f t="shared" si="38"/>
        <v>7966706.8600000003</v>
      </c>
    </row>
    <row r="2450" spans="1:8" x14ac:dyDescent="0.2">
      <c r="A2450" s="2" t="s">
        <v>2531</v>
      </c>
      <c r="B2450" s="2" t="s">
        <v>2455</v>
      </c>
      <c r="C2450" s="2" t="s">
        <v>89</v>
      </c>
      <c r="D2450" s="3">
        <v>4099</v>
      </c>
      <c r="E2450" s="4" t="s">
        <v>30</v>
      </c>
      <c r="F2450" s="5">
        <v>2.85</v>
      </c>
      <c r="G2450" s="4" t="s">
        <v>31</v>
      </c>
      <c r="H2450" s="6">
        <f t="shared" si="38"/>
        <v>11682.15</v>
      </c>
    </row>
    <row r="2451" spans="1:8" x14ac:dyDescent="0.2">
      <c r="A2451" s="2" t="s">
        <v>2532</v>
      </c>
      <c r="B2451" s="2" t="s">
        <v>2455</v>
      </c>
      <c r="C2451" s="2" t="s">
        <v>86</v>
      </c>
      <c r="D2451" s="3">
        <v>2963</v>
      </c>
      <c r="E2451" s="4" t="s">
        <v>72</v>
      </c>
      <c r="F2451" s="5">
        <v>9096.73</v>
      </c>
      <c r="G2451" s="4" t="s">
        <v>73</v>
      </c>
      <c r="H2451" s="6">
        <f t="shared" si="38"/>
        <v>26953610.989999998</v>
      </c>
    </row>
    <row r="2452" spans="1:8" x14ac:dyDescent="0.2">
      <c r="A2452" s="2" t="s">
        <v>2533</v>
      </c>
      <c r="B2452" s="2" t="s">
        <v>2455</v>
      </c>
      <c r="C2452" s="2" t="s">
        <v>71</v>
      </c>
      <c r="D2452" s="3">
        <v>2166</v>
      </c>
      <c r="E2452" s="4" t="s">
        <v>72</v>
      </c>
      <c r="F2452" s="5">
        <v>2767.76</v>
      </c>
      <c r="G2452" s="4" t="s">
        <v>73</v>
      </c>
      <c r="H2452" s="6">
        <f t="shared" si="38"/>
        <v>5994968.1600000001</v>
      </c>
    </row>
    <row r="2453" spans="1:8" x14ac:dyDescent="0.2">
      <c r="A2453" s="2" t="s">
        <v>2534</v>
      </c>
      <c r="B2453" s="2" t="s">
        <v>2455</v>
      </c>
      <c r="C2453" s="2" t="s">
        <v>86</v>
      </c>
      <c r="D2453" s="3">
        <v>4245</v>
      </c>
      <c r="E2453" s="4" t="s">
        <v>72</v>
      </c>
      <c r="F2453" s="5">
        <v>8238.2099999999991</v>
      </c>
      <c r="G2453" s="4" t="s">
        <v>73</v>
      </c>
      <c r="H2453" s="6">
        <f t="shared" si="38"/>
        <v>34971201.449999996</v>
      </c>
    </row>
    <row r="2454" spans="1:8" x14ac:dyDescent="0.2">
      <c r="A2454" s="2" t="s">
        <v>2535</v>
      </c>
      <c r="B2454" s="2" t="s">
        <v>2455</v>
      </c>
      <c r="C2454" s="2" t="s">
        <v>118</v>
      </c>
      <c r="D2454" s="3">
        <v>2594</v>
      </c>
      <c r="E2454" s="4" t="s">
        <v>24</v>
      </c>
      <c r="F2454" s="5">
        <v>0.92</v>
      </c>
      <c r="G2454" s="4" t="s">
        <v>25</v>
      </c>
      <c r="H2454" s="6">
        <f t="shared" si="38"/>
        <v>2386.48</v>
      </c>
    </row>
    <row r="2455" spans="1:8" x14ac:dyDescent="0.2">
      <c r="A2455" s="2" t="s">
        <v>2536</v>
      </c>
      <c r="B2455" s="2" t="s">
        <v>2455</v>
      </c>
      <c r="C2455" s="2" t="s">
        <v>48</v>
      </c>
      <c r="D2455" s="3">
        <v>1249</v>
      </c>
      <c r="E2455" s="4" t="s">
        <v>24</v>
      </c>
      <c r="F2455" s="5">
        <v>0.13</v>
      </c>
      <c r="G2455" s="4" t="s">
        <v>25</v>
      </c>
      <c r="H2455" s="6">
        <f t="shared" si="38"/>
        <v>162.37</v>
      </c>
    </row>
    <row r="2456" spans="1:8" x14ac:dyDescent="0.2">
      <c r="A2456" s="2" t="s">
        <v>2537</v>
      </c>
      <c r="B2456" s="2" t="s">
        <v>2455</v>
      </c>
      <c r="C2456" s="2" t="s">
        <v>23</v>
      </c>
      <c r="D2456" s="3">
        <v>445</v>
      </c>
      <c r="E2456" s="4" t="s">
        <v>24</v>
      </c>
      <c r="F2456" s="5">
        <v>13.13</v>
      </c>
      <c r="G2456" s="4" t="s">
        <v>25</v>
      </c>
      <c r="H2456" s="6">
        <f t="shared" si="38"/>
        <v>5842.85</v>
      </c>
    </row>
    <row r="2457" spans="1:8" x14ac:dyDescent="0.2">
      <c r="A2457" s="2" t="s">
        <v>2538</v>
      </c>
      <c r="B2457" s="2" t="s">
        <v>2455</v>
      </c>
      <c r="C2457" s="2" t="s">
        <v>37</v>
      </c>
      <c r="D2457" s="3">
        <v>1893</v>
      </c>
      <c r="E2457" s="4" t="s">
        <v>38</v>
      </c>
      <c r="F2457" s="5">
        <v>2.5499999999999998</v>
      </c>
      <c r="G2457" s="4" t="s">
        <v>39</v>
      </c>
      <c r="H2457" s="6">
        <f t="shared" si="38"/>
        <v>4827.1499999999996</v>
      </c>
    </row>
    <row r="2458" spans="1:8" x14ac:dyDescent="0.2">
      <c r="A2458" s="2" t="s">
        <v>2539</v>
      </c>
      <c r="B2458" s="2" t="s">
        <v>2455</v>
      </c>
      <c r="C2458" s="2" t="s">
        <v>48</v>
      </c>
      <c r="D2458" s="3">
        <v>2141</v>
      </c>
      <c r="E2458" s="4" t="s">
        <v>24</v>
      </c>
      <c r="F2458" s="5">
        <v>7.0000000000000007E-2</v>
      </c>
      <c r="G2458" s="4" t="s">
        <v>25</v>
      </c>
      <c r="H2458" s="6">
        <f t="shared" si="38"/>
        <v>149.87</v>
      </c>
    </row>
    <row r="2459" spans="1:8" x14ac:dyDescent="0.2">
      <c r="A2459" s="2" t="s">
        <v>2540</v>
      </c>
      <c r="B2459" s="2" t="s">
        <v>2455</v>
      </c>
      <c r="C2459" s="2" t="s">
        <v>23</v>
      </c>
      <c r="D2459" s="3">
        <v>3585</v>
      </c>
      <c r="E2459" s="4" t="s">
        <v>24</v>
      </c>
      <c r="F2459" s="5">
        <v>12.7</v>
      </c>
      <c r="G2459" s="4" t="s">
        <v>25</v>
      </c>
      <c r="H2459" s="6">
        <f t="shared" si="38"/>
        <v>45529.5</v>
      </c>
    </row>
    <row r="2460" spans="1:8" x14ac:dyDescent="0.2">
      <c r="A2460" s="2" t="s">
        <v>2541</v>
      </c>
      <c r="B2460" s="2" t="s">
        <v>2455</v>
      </c>
      <c r="C2460" s="2" t="s">
        <v>48</v>
      </c>
      <c r="D2460" s="3">
        <v>344</v>
      </c>
      <c r="E2460" s="4" t="s">
        <v>24</v>
      </c>
      <c r="F2460" s="5">
        <v>0.12</v>
      </c>
      <c r="G2460" s="4" t="s">
        <v>25</v>
      </c>
      <c r="H2460" s="6">
        <f t="shared" si="38"/>
        <v>41.28</v>
      </c>
    </row>
    <row r="2461" spans="1:8" x14ac:dyDescent="0.2">
      <c r="A2461" s="2" t="s">
        <v>2542</v>
      </c>
      <c r="B2461" s="2" t="s">
        <v>2455</v>
      </c>
      <c r="C2461" s="2" t="s">
        <v>29</v>
      </c>
      <c r="D2461" s="3">
        <v>3984</v>
      </c>
      <c r="E2461" s="4" t="s">
        <v>30</v>
      </c>
      <c r="F2461" s="5">
        <v>1.55</v>
      </c>
      <c r="G2461" s="4" t="s">
        <v>31</v>
      </c>
      <c r="H2461" s="6">
        <f t="shared" si="38"/>
        <v>6175.2</v>
      </c>
    </row>
    <row r="2462" spans="1:8" x14ac:dyDescent="0.2">
      <c r="A2462" s="2" t="s">
        <v>2543</v>
      </c>
      <c r="B2462" s="2" t="s">
        <v>2455</v>
      </c>
      <c r="C2462" s="2" t="s">
        <v>50</v>
      </c>
      <c r="D2462" s="3">
        <v>1222</v>
      </c>
      <c r="E2462" s="4" t="s">
        <v>20</v>
      </c>
      <c r="F2462" s="5">
        <v>0.77</v>
      </c>
      <c r="G2462" s="4" t="s">
        <v>21</v>
      </c>
      <c r="H2462" s="6">
        <f t="shared" si="38"/>
        <v>940.94</v>
      </c>
    </row>
    <row r="2463" spans="1:8" x14ac:dyDescent="0.2">
      <c r="A2463" s="2" t="s">
        <v>2544</v>
      </c>
      <c r="B2463" s="2" t="s">
        <v>2455</v>
      </c>
      <c r="C2463" s="2" t="s">
        <v>27</v>
      </c>
      <c r="D2463" s="3">
        <v>1678</v>
      </c>
      <c r="E2463" s="4" t="s">
        <v>20</v>
      </c>
      <c r="F2463" s="5">
        <v>2.2400000000000002</v>
      </c>
      <c r="G2463" s="4" t="s">
        <v>21</v>
      </c>
      <c r="H2463" s="6">
        <f t="shared" si="38"/>
        <v>3758.7200000000003</v>
      </c>
    </row>
    <row r="2464" spans="1:8" x14ac:dyDescent="0.2">
      <c r="A2464" s="2" t="s">
        <v>2545</v>
      </c>
      <c r="B2464" s="2" t="s">
        <v>2455</v>
      </c>
      <c r="C2464" s="2" t="s">
        <v>118</v>
      </c>
      <c r="D2464" s="3">
        <v>1388</v>
      </c>
      <c r="E2464" s="4" t="s">
        <v>24</v>
      </c>
      <c r="F2464" s="5">
        <v>0.92</v>
      </c>
      <c r="G2464" s="4" t="s">
        <v>25</v>
      </c>
      <c r="H2464" s="6">
        <f t="shared" si="38"/>
        <v>1276.96</v>
      </c>
    </row>
    <row r="2465" spans="1:8" x14ac:dyDescent="0.2">
      <c r="A2465" s="2" t="s">
        <v>2546</v>
      </c>
      <c r="B2465" s="2" t="s">
        <v>2455</v>
      </c>
      <c r="C2465" s="2" t="s">
        <v>86</v>
      </c>
      <c r="D2465" s="3">
        <v>4624</v>
      </c>
      <c r="E2465" s="4" t="s">
        <v>72</v>
      </c>
      <c r="F2465" s="5">
        <v>9047.25</v>
      </c>
      <c r="G2465" s="4" t="s">
        <v>73</v>
      </c>
      <c r="H2465" s="6">
        <f t="shared" si="38"/>
        <v>41834484</v>
      </c>
    </row>
    <row r="2466" spans="1:8" x14ac:dyDescent="0.2">
      <c r="A2466" s="2" t="s">
        <v>2547</v>
      </c>
      <c r="B2466" s="2" t="s">
        <v>2455</v>
      </c>
      <c r="C2466" s="2" t="s">
        <v>46</v>
      </c>
      <c r="D2466" s="3">
        <v>1749</v>
      </c>
      <c r="E2466" s="4" t="s">
        <v>20</v>
      </c>
      <c r="F2466" s="5">
        <v>3.17</v>
      </c>
      <c r="G2466" s="4" t="s">
        <v>21</v>
      </c>
      <c r="H2466" s="6">
        <f t="shared" si="38"/>
        <v>5544.33</v>
      </c>
    </row>
    <row r="2467" spans="1:8" x14ac:dyDescent="0.2">
      <c r="A2467" s="2" t="s">
        <v>2548</v>
      </c>
      <c r="B2467" s="2" t="s">
        <v>2455</v>
      </c>
      <c r="C2467" s="2" t="s">
        <v>33</v>
      </c>
      <c r="D2467" s="3">
        <v>4319</v>
      </c>
      <c r="E2467" s="4" t="s">
        <v>34</v>
      </c>
      <c r="F2467" s="5">
        <v>5.42</v>
      </c>
      <c r="G2467" s="4" t="s">
        <v>35</v>
      </c>
      <c r="H2467" s="6">
        <f t="shared" si="38"/>
        <v>23408.98</v>
      </c>
    </row>
    <row r="2468" spans="1:8" x14ac:dyDescent="0.2">
      <c r="A2468" s="2" t="s">
        <v>2549</v>
      </c>
      <c r="B2468" s="2" t="s">
        <v>2455</v>
      </c>
      <c r="C2468" s="2" t="s">
        <v>118</v>
      </c>
      <c r="D2468" s="3">
        <v>3421</v>
      </c>
      <c r="E2468" s="4" t="s">
        <v>24</v>
      </c>
      <c r="F2468" s="5">
        <v>1.04</v>
      </c>
      <c r="G2468" s="4" t="s">
        <v>25</v>
      </c>
      <c r="H2468" s="6">
        <f t="shared" si="38"/>
        <v>3557.84</v>
      </c>
    </row>
    <row r="2469" spans="1:8" x14ac:dyDescent="0.2">
      <c r="A2469" s="2" t="s">
        <v>2550</v>
      </c>
      <c r="B2469" s="2" t="s">
        <v>2455</v>
      </c>
      <c r="C2469" s="2" t="s">
        <v>42</v>
      </c>
      <c r="D2469" s="3">
        <v>4090</v>
      </c>
      <c r="E2469" s="4" t="s">
        <v>24</v>
      </c>
      <c r="F2469" s="5">
        <v>5.53</v>
      </c>
      <c r="G2469" s="4" t="s">
        <v>25</v>
      </c>
      <c r="H2469" s="6">
        <f t="shared" si="38"/>
        <v>22617.7</v>
      </c>
    </row>
    <row r="2470" spans="1:8" x14ac:dyDescent="0.2">
      <c r="A2470" s="2" t="s">
        <v>2551</v>
      </c>
      <c r="B2470" s="2" t="s">
        <v>2455</v>
      </c>
      <c r="C2470" s="2" t="s">
        <v>57</v>
      </c>
      <c r="D2470" s="3">
        <v>222</v>
      </c>
      <c r="E2470" s="4" t="s">
        <v>20</v>
      </c>
      <c r="F2470" s="5">
        <v>0.71</v>
      </c>
      <c r="G2470" s="4" t="s">
        <v>21</v>
      </c>
      <c r="H2470" s="6">
        <f t="shared" si="38"/>
        <v>157.62</v>
      </c>
    </row>
    <row r="2471" spans="1:8" x14ac:dyDescent="0.2">
      <c r="A2471" s="2" t="s">
        <v>2552</v>
      </c>
      <c r="B2471" s="2" t="s">
        <v>2455</v>
      </c>
      <c r="C2471" s="2" t="s">
        <v>50</v>
      </c>
      <c r="D2471" s="3">
        <v>3239</v>
      </c>
      <c r="E2471" s="4" t="s">
        <v>20</v>
      </c>
      <c r="F2471" s="5">
        <v>0.92</v>
      </c>
      <c r="G2471" s="4" t="s">
        <v>21</v>
      </c>
      <c r="H2471" s="6">
        <f t="shared" si="38"/>
        <v>2979.88</v>
      </c>
    </row>
    <row r="2472" spans="1:8" x14ac:dyDescent="0.2">
      <c r="A2472" s="2" t="s">
        <v>2553</v>
      </c>
      <c r="B2472" s="2" t="s">
        <v>2455</v>
      </c>
      <c r="C2472" s="2" t="s">
        <v>50</v>
      </c>
      <c r="D2472" s="3">
        <v>2660</v>
      </c>
      <c r="E2472" s="4" t="s">
        <v>20</v>
      </c>
      <c r="F2472" s="5">
        <v>0.79</v>
      </c>
      <c r="G2472" s="4" t="s">
        <v>21</v>
      </c>
      <c r="H2472" s="6">
        <f t="shared" si="38"/>
        <v>2101.4</v>
      </c>
    </row>
    <row r="2473" spans="1:8" x14ac:dyDescent="0.2">
      <c r="A2473" s="2" t="s">
        <v>2554</v>
      </c>
      <c r="B2473" s="2" t="s">
        <v>2455</v>
      </c>
      <c r="C2473" s="2" t="s">
        <v>27</v>
      </c>
      <c r="D2473" s="3">
        <v>3780</v>
      </c>
      <c r="E2473" s="4" t="s">
        <v>20</v>
      </c>
      <c r="F2473" s="5">
        <v>2.2000000000000002</v>
      </c>
      <c r="G2473" s="4" t="s">
        <v>21</v>
      </c>
      <c r="H2473" s="6">
        <f t="shared" si="38"/>
        <v>8316</v>
      </c>
    </row>
    <row r="2474" spans="1:8" x14ac:dyDescent="0.2">
      <c r="A2474" s="2" t="s">
        <v>2555</v>
      </c>
      <c r="B2474" s="2" t="s">
        <v>2455</v>
      </c>
      <c r="C2474" s="2" t="s">
        <v>48</v>
      </c>
      <c r="D2474" s="3">
        <v>3729</v>
      </c>
      <c r="E2474" s="4" t="s">
        <v>24</v>
      </c>
      <c r="F2474" s="5">
        <v>0.14000000000000001</v>
      </c>
      <c r="G2474" s="4" t="s">
        <v>25</v>
      </c>
      <c r="H2474" s="6">
        <f t="shared" si="38"/>
        <v>522.06000000000006</v>
      </c>
    </row>
    <row r="2475" spans="1:8" x14ac:dyDescent="0.2">
      <c r="A2475" s="2" t="s">
        <v>2556</v>
      </c>
      <c r="B2475" s="2" t="s">
        <v>2455</v>
      </c>
      <c r="C2475" s="2" t="s">
        <v>86</v>
      </c>
      <c r="D2475" s="3">
        <v>4877</v>
      </c>
      <c r="E2475" s="4" t="s">
        <v>72</v>
      </c>
      <c r="F2475" s="5">
        <v>8721.2099999999991</v>
      </c>
      <c r="G2475" s="4" t="s">
        <v>73</v>
      </c>
      <c r="H2475" s="6">
        <f t="shared" si="38"/>
        <v>42533341.169999994</v>
      </c>
    </row>
    <row r="2476" spans="1:8" x14ac:dyDescent="0.2">
      <c r="A2476" s="2" t="s">
        <v>2557</v>
      </c>
      <c r="B2476" s="2" t="s">
        <v>2455</v>
      </c>
      <c r="C2476" s="2" t="s">
        <v>57</v>
      </c>
      <c r="D2476" s="3">
        <v>369</v>
      </c>
      <c r="E2476" s="4" t="s">
        <v>20</v>
      </c>
      <c r="F2476" s="5">
        <v>0.86</v>
      </c>
      <c r="G2476" s="4" t="s">
        <v>21</v>
      </c>
      <c r="H2476" s="6">
        <f t="shared" si="38"/>
        <v>317.33999999999997</v>
      </c>
    </row>
    <row r="2477" spans="1:8" x14ac:dyDescent="0.2">
      <c r="A2477" s="2" t="s">
        <v>2558</v>
      </c>
      <c r="B2477" s="2" t="s">
        <v>2455</v>
      </c>
      <c r="C2477" s="2" t="s">
        <v>23</v>
      </c>
      <c r="D2477" s="3">
        <v>2671</v>
      </c>
      <c r="E2477" s="4" t="s">
        <v>24</v>
      </c>
      <c r="F2477" s="5">
        <v>17.68</v>
      </c>
      <c r="G2477" s="4" t="s">
        <v>25</v>
      </c>
      <c r="H2477" s="6">
        <f t="shared" si="38"/>
        <v>47223.28</v>
      </c>
    </row>
    <row r="2478" spans="1:8" x14ac:dyDescent="0.2">
      <c r="A2478" s="2" t="s">
        <v>2559</v>
      </c>
      <c r="B2478" s="2" t="s">
        <v>2455</v>
      </c>
      <c r="C2478" s="2" t="s">
        <v>46</v>
      </c>
      <c r="D2478" s="3">
        <v>1069</v>
      </c>
      <c r="E2478" s="4" t="s">
        <v>20</v>
      </c>
      <c r="F2478" s="5">
        <v>2.42</v>
      </c>
      <c r="G2478" s="4" t="s">
        <v>21</v>
      </c>
      <c r="H2478" s="6">
        <f t="shared" si="38"/>
        <v>2586.98</v>
      </c>
    </row>
    <row r="2479" spans="1:8" x14ac:dyDescent="0.2">
      <c r="A2479" s="2" t="s">
        <v>2560</v>
      </c>
      <c r="B2479" s="2" t="s">
        <v>2455</v>
      </c>
      <c r="C2479" s="2" t="s">
        <v>37</v>
      </c>
      <c r="D2479" s="3">
        <v>2327</v>
      </c>
      <c r="E2479" s="4" t="s">
        <v>38</v>
      </c>
      <c r="F2479" s="5">
        <v>2.97</v>
      </c>
      <c r="G2479" s="4" t="s">
        <v>39</v>
      </c>
      <c r="H2479" s="6">
        <f t="shared" si="38"/>
        <v>6911.1900000000005</v>
      </c>
    </row>
    <row r="2480" spans="1:8" x14ac:dyDescent="0.2">
      <c r="A2480" s="2" t="s">
        <v>2561</v>
      </c>
      <c r="B2480" s="2" t="s">
        <v>2455</v>
      </c>
      <c r="C2480" s="2" t="s">
        <v>37</v>
      </c>
      <c r="D2480" s="3">
        <v>589</v>
      </c>
      <c r="E2480" s="4" t="s">
        <v>38</v>
      </c>
      <c r="F2480" s="5">
        <v>3.64</v>
      </c>
      <c r="G2480" s="4" t="s">
        <v>39</v>
      </c>
      <c r="H2480" s="6">
        <f t="shared" si="38"/>
        <v>2143.96</v>
      </c>
    </row>
    <row r="2481" spans="1:8" x14ac:dyDescent="0.2">
      <c r="A2481" s="2" t="s">
        <v>2562</v>
      </c>
      <c r="B2481" s="2" t="s">
        <v>2455</v>
      </c>
      <c r="C2481" s="2" t="s">
        <v>147</v>
      </c>
      <c r="D2481" s="3">
        <v>3134</v>
      </c>
      <c r="E2481" s="4" t="s">
        <v>53</v>
      </c>
      <c r="F2481" s="5">
        <v>8.74</v>
      </c>
      <c r="G2481" s="4" t="s">
        <v>54</v>
      </c>
      <c r="H2481" s="6">
        <f t="shared" si="38"/>
        <v>27391.16</v>
      </c>
    </row>
    <row r="2482" spans="1:8" x14ac:dyDescent="0.2">
      <c r="A2482" s="2" t="s">
        <v>2563</v>
      </c>
      <c r="B2482" s="2" t="s">
        <v>2455</v>
      </c>
      <c r="C2482" s="2" t="s">
        <v>86</v>
      </c>
      <c r="D2482" s="3">
        <v>1468</v>
      </c>
      <c r="E2482" s="4" t="s">
        <v>72</v>
      </c>
      <c r="F2482" s="5">
        <v>8136.11</v>
      </c>
      <c r="G2482" s="4" t="s">
        <v>73</v>
      </c>
      <c r="H2482" s="6">
        <f t="shared" si="38"/>
        <v>11943809.48</v>
      </c>
    </row>
    <row r="2483" spans="1:8" x14ac:dyDescent="0.2">
      <c r="A2483" s="2" t="s">
        <v>2564</v>
      </c>
      <c r="B2483" s="2" t="s">
        <v>2455</v>
      </c>
      <c r="C2483" s="2" t="s">
        <v>67</v>
      </c>
      <c r="D2483" s="3">
        <v>740</v>
      </c>
      <c r="E2483" s="4" t="s">
        <v>24</v>
      </c>
      <c r="F2483" s="5">
        <v>0.31</v>
      </c>
      <c r="G2483" s="4" t="s">
        <v>25</v>
      </c>
      <c r="H2483" s="6">
        <f t="shared" si="38"/>
        <v>229.4</v>
      </c>
    </row>
    <row r="2484" spans="1:8" x14ac:dyDescent="0.2">
      <c r="A2484" s="2" t="s">
        <v>2565</v>
      </c>
      <c r="B2484" s="2" t="s">
        <v>2455</v>
      </c>
      <c r="C2484" s="2" t="s">
        <v>44</v>
      </c>
      <c r="D2484" s="3">
        <v>1344</v>
      </c>
      <c r="E2484" s="4" t="s">
        <v>24</v>
      </c>
      <c r="F2484" s="5">
        <v>1.17</v>
      </c>
      <c r="G2484" s="4" t="s">
        <v>25</v>
      </c>
      <c r="H2484" s="6">
        <f t="shared" si="38"/>
        <v>1572.48</v>
      </c>
    </row>
    <row r="2485" spans="1:8" x14ac:dyDescent="0.2">
      <c r="A2485" s="2" t="s">
        <v>2566</v>
      </c>
      <c r="B2485" s="2" t="s">
        <v>2455</v>
      </c>
      <c r="C2485" s="2" t="s">
        <v>67</v>
      </c>
      <c r="D2485" s="3">
        <v>2344</v>
      </c>
      <c r="E2485" s="4" t="s">
        <v>24</v>
      </c>
      <c r="F2485" s="5">
        <v>0.49</v>
      </c>
      <c r="G2485" s="4" t="s">
        <v>25</v>
      </c>
      <c r="H2485" s="6">
        <f t="shared" si="38"/>
        <v>1148.56</v>
      </c>
    </row>
    <row r="2486" spans="1:8" x14ac:dyDescent="0.2">
      <c r="A2486" s="2" t="s">
        <v>2567</v>
      </c>
      <c r="B2486" s="2" t="s">
        <v>2455</v>
      </c>
      <c r="C2486" s="2" t="s">
        <v>89</v>
      </c>
      <c r="D2486" s="3">
        <v>997</v>
      </c>
      <c r="E2486" s="4" t="s">
        <v>30</v>
      </c>
      <c r="F2486" s="5">
        <v>2.16</v>
      </c>
      <c r="G2486" s="4" t="s">
        <v>31</v>
      </c>
      <c r="H2486" s="6">
        <f t="shared" si="38"/>
        <v>2153.52</v>
      </c>
    </row>
    <row r="2487" spans="1:8" x14ac:dyDescent="0.2">
      <c r="A2487" s="2" t="s">
        <v>2568</v>
      </c>
      <c r="B2487" s="2" t="s">
        <v>2455</v>
      </c>
      <c r="C2487" s="2" t="s">
        <v>52</v>
      </c>
      <c r="D2487" s="3">
        <v>2550</v>
      </c>
      <c r="E2487" s="4" t="s">
        <v>53</v>
      </c>
      <c r="F2487" s="5">
        <v>13.52</v>
      </c>
      <c r="G2487" s="4" t="s">
        <v>54</v>
      </c>
      <c r="H2487" s="6">
        <f t="shared" si="38"/>
        <v>34476</v>
      </c>
    </row>
    <row r="2488" spans="1:8" x14ac:dyDescent="0.2">
      <c r="A2488" s="2" t="s">
        <v>2569</v>
      </c>
      <c r="B2488" s="2" t="s">
        <v>2455</v>
      </c>
      <c r="C2488" s="2" t="s">
        <v>147</v>
      </c>
      <c r="D2488" s="3">
        <v>1085</v>
      </c>
      <c r="E2488" s="4" t="s">
        <v>53</v>
      </c>
      <c r="F2488" s="5">
        <v>10.87</v>
      </c>
      <c r="G2488" s="4" t="s">
        <v>54</v>
      </c>
      <c r="H2488" s="6">
        <f t="shared" si="38"/>
        <v>11793.949999999999</v>
      </c>
    </row>
    <row r="2489" spans="1:8" x14ac:dyDescent="0.2">
      <c r="A2489" s="2" t="s">
        <v>2570</v>
      </c>
      <c r="B2489" s="2" t="s">
        <v>2455</v>
      </c>
      <c r="C2489" s="2" t="s">
        <v>50</v>
      </c>
      <c r="D2489" s="3">
        <v>3020</v>
      </c>
      <c r="E2489" s="4" t="s">
        <v>20</v>
      </c>
      <c r="F2489" s="5">
        <v>1.01</v>
      </c>
      <c r="G2489" s="4" t="s">
        <v>21</v>
      </c>
      <c r="H2489" s="6">
        <f t="shared" si="38"/>
        <v>3050.2</v>
      </c>
    </row>
    <row r="2490" spans="1:8" x14ac:dyDescent="0.2">
      <c r="A2490" s="2" t="s">
        <v>2571</v>
      </c>
      <c r="B2490" s="2" t="s">
        <v>2455</v>
      </c>
      <c r="C2490" s="2" t="s">
        <v>48</v>
      </c>
      <c r="D2490" s="3">
        <v>3659</v>
      </c>
      <c r="E2490" s="4" t="s">
        <v>24</v>
      </c>
      <c r="F2490" s="5">
        <v>0.18</v>
      </c>
      <c r="G2490" s="4" t="s">
        <v>25</v>
      </c>
      <c r="H2490" s="6">
        <f t="shared" si="38"/>
        <v>658.62</v>
      </c>
    </row>
    <row r="2491" spans="1:8" x14ac:dyDescent="0.2">
      <c r="A2491" s="2" t="s">
        <v>2572</v>
      </c>
      <c r="B2491" s="2" t="s">
        <v>2455</v>
      </c>
      <c r="C2491" s="2" t="s">
        <v>48</v>
      </c>
      <c r="D2491" s="3">
        <v>2209</v>
      </c>
      <c r="E2491" s="4" t="s">
        <v>24</v>
      </c>
      <c r="F2491" s="5">
        <v>0.13</v>
      </c>
      <c r="G2491" s="4" t="s">
        <v>25</v>
      </c>
      <c r="H2491" s="6">
        <f t="shared" si="38"/>
        <v>287.17</v>
      </c>
    </row>
    <row r="2492" spans="1:8" x14ac:dyDescent="0.2">
      <c r="A2492" s="2" t="s">
        <v>2573</v>
      </c>
      <c r="B2492" s="2" t="s">
        <v>2455</v>
      </c>
      <c r="C2492" s="2" t="s">
        <v>52</v>
      </c>
      <c r="D2492" s="3">
        <v>749</v>
      </c>
      <c r="E2492" s="4" t="s">
        <v>53</v>
      </c>
      <c r="F2492" s="5">
        <v>12.78</v>
      </c>
      <c r="G2492" s="4" t="s">
        <v>54</v>
      </c>
      <c r="H2492" s="6">
        <f t="shared" si="38"/>
        <v>9572.2199999999993</v>
      </c>
    </row>
    <row r="2493" spans="1:8" x14ac:dyDescent="0.2">
      <c r="A2493" s="2" t="s">
        <v>2574</v>
      </c>
      <c r="B2493" s="2" t="s">
        <v>2455</v>
      </c>
      <c r="C2493" s="2" t="s">
        <v>19</v>
      </c>
      <c r="D2493" s="3">
        <v>1536</v>
      </c>
      <c r="E2493" s="4" t="s">
        <v>20</v>
      </c>
      <c r="F2493" s="5">
        <v>1.36</v>
      </c>
      <c r="G2493" s="4" t="s">
        <v>21</v>
      </c>
      <c r="H2493" s="6">
        <f t="shared" si="38"/>
        <v>2088.96</v>
      </c>
    </row>
    <row r="2494" spans="1:8" x14ac:dyDescent="0.2">
      <c r="A2494" s="2" t="s">
        <v>2575</v>
      </c>
      <c r="B2494" s="2" t="s">
        <v>2455</v>
      </c>
      <c r="C2494" s="2" t="s">
        <v>52</v>
      </c>
      <c r="D2494" s="3">
        <v>771</v>
      </c>
      <c r="E2494" s="4" t="s">
        <v>53</v>
      </c>
      <c r="F2494" s="5">
        <v>9.1999999999999993</v>
      </c>
      <c r="G2494" s="4" t="s">
        <v>54</v>
      </c>
      <c r="H2494" s="6">
        <f t="shared" si="38"/>
        <v>7093.2</v>
      </c>
    </row>
    <row r="2495" spans="1:8" x14ac:dyDescent="0.2">
      <c r="A2495" s="2" t="s">
        <v>2576</v>
      </c>
      <c r="B2495" s="2" t="s">
        <v>2455</v>
      </c>
      <c r="C2495" s="2" t="s">
        <v>57</v>
      </c>
      <c r="D2495" s="3">
        <v>3807</v>
      </c>
      <c r="E2495" s="4" t="s">
        <v>20</v>
      </c>
      <c r="F2495" s="5">
        <v>0.87</v>
      </c>
      <c r="G2495" s="4" t="s">
        <v>21</v>
      </c>
      <c r="H2495" s="6">
        <f t="shared" si="38"/>
        <v>3312.09</v>
      </c>
    </row>
    <row r="2496" spans="1:8" x14ac:dyDescent="0.2">
      <c r="A2496" s="2" t="s">
        <v>2577</v>
      </c>
      <c r="B2496" s="2" t="s">
        <v>2455</v>
      </c>
      <c r="C2496" s="2" t="s">
        <v>89</v>
      </c>
      <c r="D2496" s="3">
        <v>4067</v>
      </c>
      <c r="E2496" s="4" t="s">
        <v>30</v>
      </c>
      <c r="F2496" s="5">
        <v>2.4300000000000002</v>
      </c>
      <c r="G2496" s="4" t="s">
        <v>31</v>
      </c>
      <c r="H2496" s="6">
        <f t="shared" si="38"/>
        <v>9882.8100000000013</v>
      </c>
    </row>
    <row r="2497" spans="1:8" x14ac:dyDescent="0.2">
      <c r="A2497" s="2" t="s">
        <v>2578</v>
      </c>
      <c r="B2497" s="2" t="s">
        <v>2455</v>
      </c>
      <c r="C2497" s="2" t="s">
        <v>78</v>
      </c>
      <c r="D2497" s="3">
        <v>697</v>
      </c>
      <c r="E2497" s="4" t="s">
        <v>38</v>
      </c>
      <c r="F2497" s="5">
        <v>1.99</v>
      </c>
      <c r="G2497" s="4" t="s">
        <v>39</v>
      </c>
      <c r="H2497" s="6">
        <f t="shared" si="38"/>
        <v>1387.03</v>
      </c>
    </row>
    <row r="2498" spans="1:8" x14ac:dyDescent="0.2">
      <c r="A2498" s="2" t="s">
        <v>2579</v>
      </c>
      <c r="B2498" s="2" t="s">
        <v>2455</v>
      </c>
      <c r="C2498" s="2" t="s">
        <v>52</v>
      </c>
      <c r="D2498" s="3">
        <v>658</v>
      </c>
      <c r="E2498" s="4" t="s">
        <v>53</v>
      </c>
      <c r="F2498" s="5">
        <v>13.54</v>
      </c>
      <c r="G2498" s="4" t="s">
        <v>54</v>
      </c>
      <c r="H2498" s="6">
        <f t="shared" ref="H2498:H2561" si="39">D2498*F2498</f>
        <v>8909.32</v>
      </c>
    </row>
    <row r="2499" spans="1:8" x14ac:dyDescent="0.2">
      <c r="A2499" s="2" t="s">
        <v>2580</v>
      </c>
      <c r="B2499" s="2" t="s">
        <v>2455</v>
      </c>
      <c r="C2499" s="2" t="s">
        <v>48</v>
      </c>
      <c r="D2499" s="3">
        <v>2470</v>
      </c>
      <c r="E2499" s="4" t="s">
        <v>24</v>
      </c>
      <c r="F2499" s="5">
        <v>7.0000000000000007E-2</v>
      </c>
      <c r="G2499" s="4" t="s">
        <v>25</v>
      </c>
      <c r="H2499" s="6">
        <f t="shared" si="39"/>
        <v>172.9</v>
      </c>
    </row>
    <row r="2500" spans="1:8" x14ac:dyDescent="0.2">
      <c r="A2500" s="2" t="s">
        <v>2581</v>
      </c>
      <c r="B2500" s="2" t="s">
        <v>2455</v>
      </c>
      <c r="C2500" s="2" t="s">
        <v>89</v>
      </c>
      <c r="D2500" s="3">
        <v>2470</v>
      </c>
      <c r="E2500" s="4" t="s">
        <v>30</v>
      </c>
      <c r="F2500" s="5">
        <v>2.81</v>
      </c>
      <c r="G2500" s="4" t="s">
        <v>31</v>
      </c>
      <c r="H2500" s="6">
        <f t="shared" si="39"/>
        <v>6940.7</v>
      </c>
    </row>
    <row r="2501" spans="1:8" x14ac:dyDescent="0.2">
      <c r="A2501" s="2" t="s">
        <v>2582</v>
      </c>
      <c r="B2501" s="2" t="s">
        <v>2455</v>
      </c>
      <c r="C2501" s="2" t="s">
        <v>78</v>
      </c>
      <c r="D2501" s="3">
        <v>3513</v>
      </c>
      <c r="E2501" s="4" t="s">
        <v>38</v>
      </c>
      <c r="F2501" s="5">
        <v>2</v>
      </c>
      <c r="G2501" s="4" t="s">
        <v>39</v>
      </c>
      <c r="H2501" s="6">
        <f t="shared" si="39"/>
        <v>7026</v>
      </c>
    </row>
    <row r="2502" spans="1:8" x14ac:dyDescent="0.2">
      <c r="A2502" s="2" t="s">
        <v>2583</v>
      </c>
      <c r="B2502" s="2" t="s">
        <v>2455</v>
      </c>
      <c r="C2502" s="2" t="s">
        <v>37</v>
      </c>
      <c r="D2502" s="3">
        <v>4523</v>
      </c>
      <c r="E2502" s="4" t="s">
        <v>38</v>
      </c>
      <c r="F2502" s="5">
        <v>2.23</v>
      </c>
      <c r="G2502" s="4" t="s">
        <v>39</v>
      </c>
      <c r="H2502" s="6">
        <f t="shared" si="39"/>
        <v>10086.289999999999</v>
      </c>
    </row>
    <row r="2503" spans="1:8" x14ac:dyDescent="0.2">
      <c r="A2503" s="2" t="s">
        <v>2584</v>
      </c>
      <c r="B2503" s="2" t="s">
        <v>2455</v>
      </c>
      <c r="C2503" s="2" t="s">
        <v>37</v>
      </c>
      <c r="D2503" s="3">
        <v>4215</v>
      </c>
      <c r="E2503" s="4" t="s">
        <v>38</v>
      </c>
      <c r="F2503" s="5">
        <v>2.3199999999999998</v>
      </c>
      <c r="G2503" s="4" t="s">
        <v>39</v>
      </c>
      <c r="H2503" s="6">
        <f t="shared" si="39"/>
        <v>9778.7999999999993</v>
      </c>
    </row>
    <row r="2504" spans="1:8" x14ac:dyDescent="0.2">
      <c r="A2504" s="2" t="s">
        <v>2585</v>
      </c>
      <c r="B2504" s="2" t="s">
        <v>2455</v>
      </c>
      <c r="C2504" s="2" t="s">
        <v>52</v>
      </c>
      <c r="D2504" s="3">
        <v>3393</v>
      </c>
      <c r="E2504" s="4" t="s">
        <v>53</v>
      </c>
      <c r="F2504" s="5">
        <v>9.4700000000000006</v>
      </c>
      <c r="G2504" s="4" t="s">
        <v>54</v>
      </c>
      <c r="H2504" s="6">
        <f t="shared" si="39"/>
        <v>32131.710000000003</v>
      </c>
    </row>
    <row r="2505" spans="1:8" x14ac:dyDescent="0.2">
      <c r="A2505" s="2" t="s">
        <v>2586</v>
      </c>
      <c r="B2505" s="2" t="s">
        <v>2455</v>
      </c>
      <c r="C2505" s="2" t="s">
        <v>46</v>
      </c>
      <c r="D2505" s="3">
        <v>2085</v>
      </c>
      <c r="E2505" s="4" t="s">
        <v>20</v>
      </c>
      <c r="F2505" s="5">
        <v>2.71</v>
      </c>
      <c r="G2505" s="4" t="s">
        <v>21</v>
      </c>
      <c r="H2505" s="6">
        <f t="shared" si="39"/>
        <v>5650.35</v>
      </c>
    </row>
    <row r="2506" spans="1:8" x14ac:dyDescent="0.2">
      <c r="A2506" s="2" t="s">
        <v>2587</v>
      </c>
      <c r="B2506" s="2" t="s">
        <v>2455</v>
      </c>
      <c r="C2506" s="2" t="s">
        <v>46</v>
      </c>
      <c r="D2506" s="3">
        <v>679</v>
      </c>
      <c r="E2506" s="4" t="s">
        <v>20</v>
      </c>
      <c r="F2506" s="5">
        <v>3.54</v>
      </c>
      <c r="G2506" s="4" t="s">
        <v>21</v>
      </c>
      <c r="H2506" s="6">
        <f t="shared" si="39"/>
        <v>2403.66</v>
      </c>
    </row>
    <row r="2507" spans="1:8" x14ac:dyDescent="0.2">
      <c r="A2507" s="2" t="s">
        <v>2588</v>
      </c>
      <c r="B2507" s="2" t="s">
        <v>2455</v>
      </c>
      <c r="C2507" s="2" t="s">
        <v>33</v>
      </c>
      <c r="D2507" s="3">
        <v>943</v>
      </c>
      <c r="E2507" s="4" t="s">
        <v>34</v>
      </c>
      <c r="F2507" s="5">
        <v>5.35</v>
      </c>
      <c r="G2507" s="4" t="s">
        <v>35</v>
      </c>
      <c r="H2507" s="6">
        <f t="shared" si="39"/>
        <v>5045.0499999999993</v>
      </c>
    </row>
    <row r="2508" spans="1:8" x14ac:dyDescent="0.2">
      <c r="A2508" s="2" t="s">
        <v>2589</v>
      </c>
      <c r="B2508" s="2" t="s">
        <v>2455</v>
      </c>
      <c r="C2508" s="2" t="s">
        <v>23</v>
      </c>
      <c r="D2508" s="3">
        <v>1480</v>
      </c>
      <c r="E2508" s="4" t="s">
        <v>24</v>
      </c>
      <c r="F2508" s="5">
        <v>16.72</v>
      </c>
      <c r="G2508" s="4" t="s">
        <v>25</v>
      </c>
      <c r="H2508" s="6">
        <f t="shared" si="39"/>
        <v>24745.599999999999</v>
      </c>
    </row>
    <row r="2509" spans="1:8" x14ac:dyDescent="0.2">
      <c r="A2509" s="2" t="s">
        <v>2590</v>
      </c>
      <c r="B2509" s="2" t="s">
        <v>2455</v>
      </c>
      <c r="C2509" s="2" t="s">
        <v>67</v>
      </c>
      <c r="D2509" s="3">
        <v>380</v>
      </c>
      <c r="E2509" s="4" t="s">
        <v>24</v>
      </c>
      <c r="F2509" s="5">
        <v>0.32</v>
      </c>
      <c r="G2509" s="4" t="s">
        <v>25</v>
      </c>
      <c r="H2509" s="6">
        <f t="shared" si="39"/>
        <v>121.60000000000001</v>
      </c>
    </row>
    <row r="2510" spans="1:8" x14ac:dyDescent="0.2">
      <c r="A2510" s="2" t="s">
        <v>2591</v>
      </c>
      <c r="B2510" s="2" t="s">
        <v>2592</v>
      </c>
      <c r="C2510" s="2" t="s">
        <v>71</v>
      </c>
      <c r="D2510" s="3">
        <v>2581</v>
      </c>
      <c r="E2510" s="4" t="s">
        <v>72</v>
      </c>
      <c r="F2510" s="5">
        <v>2752.33</v>
      </c>
      <c r="G2510" s="4" t="s">
        <v>73</v>
      </c>
      <c r="H2510" s="6">
        <f t="shared" si="39"/>
        <v>7103763.7299999995</v>
      </c>
    </row>
    <row r="2511" spans="1:8" x14ac:dyDescent="0.2">
      <c r="A2511" s="2" t="s">
        <v>2593</v>
      </c>
      <c r="B2511" s="2" t="s">
        <v>2592</v>
      </c>
      <c r="C2511" s="2" t="s">
        <v>23</v>
      </c>
      <c r="D2511" s="3">
        <v>3695</v>
      </c>
      <c r="E2511" s="4" t="s">
        <v>24</v>
      </c>
      <c r="F2511" s="5">
        <v>15.74</v>
      </c>
      <c r="G2511" s="4" t="s">
        <v>25</v>
      </c>
      <c r="H2511" s="6">
        <f t="shared" si="39"/>
        <v>58159.3</v>
      </c>
    </row>
    <row r="2512" spans="1:8" x14ac:dyDescent="0.2">
      <c r="A2512" s="2" t="s">
        <v>2594</v>
      </c>
      <c r="B2512" s="2" t="s">
        <v>2592</v>
      </c>
      <c r="C2512" s="2" t="s">
        <v>86</v>
      </c>
      <c r="D2512" s="3">
        <v>2806</v>
      </c>
      <c r="E2512" s="4" t="s">
        <v>72</v>
      </c>
      <c r="F2512" s="5">
        <v>9153.41</v>
      </c>
      <c r="G2512" s="4" t="s">
        <v>73</v>
      </c>
      <c r="H2512" s="6">
        <f t="shared" si="39"/>
        <v>25684468.460000001</v>
      </c>
    </row>
    <row r="2513" spans="1:8" x14ac:dyDescent="0.2">
      <c r="A2513" s="2" t="s">
        <v>2595</v>
      </c>
      <c r="B2513" s="2" t="s">
        <v>2592</v>
      </c>
      <c r="C2513" s="2" t="s">
        <v>118</v>
      </c>
      <c r="D2513" s="3">
        <v>1739</v>
      </c>
      <c r="E2513" s="4" t="s">
        <v>24</v>
      </c>
      <c r="F2513" s="5">
        <v>0.53</v>
      </c>
      <c r="G2513" s="4" t="s">
        <v>25</v>
      </c>
      <c r="H2513" s="6">
        <f t="shared" si="39"/>
        <v>921.67000000000007</v>
      </c>
    </row>
    <row r="2514" spans="1:8" x14ac:dyDescent="0.2">
      <c r="A2514" s="2" t="s">
        <v>2596</v>
      </c>
      <c r="B2514" s="2" t="s">
        <v>2592</v>
      </c>
      <c r="C2514" s="2" t="s">
        <v>147</v>
      </c>
      <c r="D2514" s="3">
        <v>2134</v>
      </c>
      <c r="E2514" s="4" t="s">
        <v>53</v>
      </c>
      <c r="F2514" s="5">
        <v>14.97</v>
      </c>
      <c r="G2514" s="4" t="s">
        <v>54</v>
      </c>
      <c r="H2514" s="6">
        <f t="shared" si="39"/>
        <v>31945.98</v>
      </c>
    </row>
    <row r="2515" spans="1:8" x14ac:dyDescent="0.2">
      <c r="A2515" s="2" t="s">
        <v>2597</v>
      </c>
      <c r="B2515" s="2" t="s">
        <v>2592</v>
      </c>
      <c r="C2515" s="2" t="s">
        <v>50</v>
      </c>
      <c r="D2515" s="3">
        <v>3563</v>
      </c>
      <c r="E2515" s="4" t="s">
        <v>20</v>
      </c>
      <c r="F2515" s="5">
        <v>1.02</v>
      </c>
      <c r="G2515" s="4" t="s">
        <v>21</v>
      </c>
      <c r="H2515" s="6">
        <f t="shared" si="39"/>
        <v>3634.26</v>
      </c>
    </row>
    <row r="2516" spans="1:8" x14ac:dyDescent="0.2">
      <c r="A2516" s="2" t="s">
        <v>2598</v>
      </c>
      <c r="B2516" s="2" t="s">
        <v>2592</v>
      </c>
      <c r="C2516" s="2" t="s">
        <v>33</v>
      </c>
      <c r="D2516" s="3">
        <v>3245</v>
      </c>
      <c r="E2516" s="4" t="s">
        <v>34</v>
      </c>
      <c r="F2516" s="5">
        <v>3.79</v>
      </c>
      <c r="G2516" s="4" t="s">
        <v>35</v>
      </c>
      <c r="H2516" s="6">
        <f t="shared" si="39"/>
        <v>12298.55</v>
      </c>
    </row>
    <row r="2517" spans="1:8" x14ac:dyDescent="0.2">
      <c r="A2517" s="2" t="s">
        <v>2599</v>
      </c>
      <c r="B2517" s="2" t="s">
        <v>2592</v>
      </c>
      <c r="C2517" s="2" t="s">
        <v>118</v>
      </c>
      <c r="D2517" s="3">
        <v>3918</v>
      </c>
      <c r="E2517" s="4" t="s">
        <v>24</v>
      </c>
      <c r="F2517" s="5">
        <v>0.72</v>
      </c>
      <c r="G2517" s="4" t="s">
        <v>25</v>
      </c>
      <c r="H2517" s="6">
        <f t="shared" si="39"/>
        <v>2820.96</v>
      </c>
    </row>
    <row r="2518" spans="1:8" x14ac:dyDescent="0.2">
      <c r="A2518" s="2" t="s">
        <v>2600</v>
      </c>
      <c r="B2518" s="2" t="s">
        <v>2592</v>
      </c>
      <c r="C2518" s="2" t="s">
        <v>67</v>
      </c>
      <c r="D2518" s="3">
        <v>4940</v>
      </c>
      <c r="E2518" s="4" t="s">
        <v>24</v>
      </c>
      <c r="F2518" s="5">
        <v>0.52</v>
      </c>
      <c r="G2518" s="4" t="s">
        <v>25</v>
      </c>
      <c r="H2518" s="6">
        <f t="shared" si="39"/>
        <v>2568.8000000000002</v>
      </c>
    </row>
    <row r="2519" spans="1:8" x14ac:dyDescent="0.2">
      <c r="A2519" s="2" t="s">
        <v>2601</v>
      </c>
      <c r="B2519" s="2" t="s">
        <v>2592</v>
      </c>
      <c r="C2519" s="2" t="s">
        <v>71</v>
      </c>
      <c r="D2519" s="3">
        <v>2965</v>
      </c>
      <c r="E2519" s="4" t="s">
        <v>72</v>
      </c>
      <c r="F2519" s="5">
        <v>2814.4</v>
      </c>
      <c r="G2519" s="4" t="s">
        <v>73</v>
      </c>
      <c r="H2519" s="6">
        <f t="shared" si="39"/>
        <v>8344696</v>
      </c>
    </row>
    <row r="2520" spans="1:8" x14ac:dyDescent="0.2">
      <c r="A2520" s="2" t="s">
        <v>2602</v>
      </c>
      <c r="B2520" s="2" t="s">
        <v>2592</v>
      </c>
      <c r="C2520" s="2" t="s">
        <v>67</v>
      </c>
      <c r="D2520" s="3">
        <v>2489</v>
      </c>
      <c r="E2520" s="4" t="s">
        <v>24</v>
      </c>
      <c r="F2520" s="5">
        <v>0.33</v>
      </c>
      <c r="G2520" s="4" t="s">
        <v>25</v>
      </c>
      <c r="H2520" s="6">
        <f t="shared" si="39"/>
        <v>821.37</v>
      </c>
    </row>
    <row r="2521" spans="1:8" x14ac:dyDescent="0.2">
      <c r="A2521" s="2" t="s">
        <v>2603</v>
      </c>
      <c r="B2521" s="2" t="s">
        <v>2592</v>
      </c>
      <c r="C2521" s="2" t="s">
        <v>89</v>
      </c>
      <c r="D2521" s="3">
        <v>123</v>
      </c>
      <c r="E2521" s="4" t="s">
        <v>30</v>
      </c>
      <c r="F2521" s="5">
        <v>2.0299999999999998</v>
      </c>
      <c r="G2521" s="4" t="s">
        <v>31</v>
      </c>
      <c r="H2521" s="6">
        <f t="shared" si="39"/>
        <v>249.68999999999997</v>
      </c>
    </row>
    <row r="2522" spans="1:8" x14ac:dyDescent="0.2">
      <c r="A2522" s="2" t="s">
        <v>2604</v>
      </c>
      <c r="B2522" s="2" t="s">
        <v>2592</v>
      </c>
      <c r="C2522" s="2" t="s">
        <v>33</v>
      </c>
      <c r="D2522" s="3">
        <v>1551</v>
      </c>
      <c r="E2522" s="4" t="s">
        <v>34</v>
      </c>
      <c r="F2522" s="5">
        <v>5.65</v>
      </c>
      <c r="G2522" s="4" t="s">
        <v>35</v>
      </c>
      <c r="H2522" s="6">
        <f t="shared" si="39"/>
        <v>8763.1500000000015</v>
      </c>
    </row>
    <row r="2523" spans="1:8" x14ac:dyDescent="0.2">
      <c r="A2523" s="2" t="s">
        <v>2605</v>
      </c>
      <c r="B2523" s="2" t="s">
        <v>2592</v>
      </c>
      <c r="C2523" s="2" t="s">
        <v>44</v>
      </c>
      <c r="D2523" s="3">
        <v>3951</v>
      </c>
      <c r="E2523" s="4" t="s">
        <v>24</v>
      </c>
      <c r="F2523" s="5">
        <v>1.35</v>
      </c>
      <c r="G2523" s="4" t="s">
        <v>25</v>
      </c>
      <c r="H2523" s="6">
        <f t="shared" si="39"/>
        <v>5333.85</v>
      </c>
    </row>
    <row r="2524" spans="1:8" x14ac:dyDescent="0.2">
      <c r="A2524" s="2" t="s">
        <v>2606</v>
      </c>
      <c r="B2524" s="2" t="s">
        <v>2592</v>
      </c>
      <c r="C2524" s="2" t="s">
        <v>42</v>
      </c>
      <c r="D2524" s="3">
        <v>3579</v>
      </c>
      <c r="E2524" s="4" t="s">
        <v>24</v>
      </c>
      <c r="F2524" s="5">
        <v>6.03</v>
      </c>
      <c r="G2524" s="4" t="s">
        <v>25</v>
      </c>
      <c r="H2524" s="6">
        <f t="shared" si="39"/>
        <v>21581.370000000003</v>
      </c>
    </row>
    <row r="2525" spans="1:8" x14ac:dyDescent="0.2">
      <c r="A2525" s="2" t="s">
        <v>2607</v>
      </c>
      <c r="B2525" s="2" t="s">
        <v>2592</v>
      </c>
      <c r="C2525" s="2" t="s">
        <v>29</v>
      </c>
      <c r="D2525" s="3">
        <v>1573</v>
      </c>
      <c r="E2525" s="4" t="s">
        <v>30</v>
      </c>
      <c r="F2525" s="5">
        <v>1.1000000000000001</v>
      </c>
      <c r="G2525" s="4" t="s">
        <v>31</v>
      </c>
      <c r="H2525" s="6">
        <f t="shared" si="39"/>
        <v>1730.3000000000002</v>
      </c>
    </row>
    <row r="2526" spans="1:8" x14ac:dyDescent="0.2">
      <c r="A2526" s="2" t="s">
        <v>2608</v>
      </c>
      <c r="B2526" s="2" t="s">
        <v>2592</v>
      </c>
      <c r="C2526" s="2" t="s">
        <v>23</v>
      </c>
      <c r="D2526" s="3">
        <v>1223</v>
      </c>
      <c r="E2526" s="4" t="s">
        <v>24</v>
      </c>
      <c r="F2526" s="5">
        <v>14.84</v>
      </c>
      <c r="G2526" s="4" t="s">
        <v>25</v>
      </c>
      <c r="H2526" s="6">
        <f t="shared" si="39"/>
        <v>18149.32</v>
      </c>
    </row>
    <row r="2527" spans="1:8" x14ac:dyDescent="0.2">
      <c r="A2527" s="2" t="s">
        <v>2609</v>
      </c>
      <c r="B2527" s="2" t="s">
        <v>2592</v>
      </c>
      <c r="C2527" s="2" t="s">
        <v>33</v>
      </c>
      <c r="D2527" s="3">
        <v>964</v>
      </c>
      <c r="E2527" s="4" t="s">
        <v>34</v>
      </c>
      <c r="F2527" s="5">
        <v>3.92</v>
      </c>
      <c r="G2527" s="4" t="s">
        <v>35</v>
      </c>
      <c r="H2527" s="6">
        <f t="shared" si="39"/>
        <v>3778.88</v>
      </c>
    </row>
    <row r="2528" spans="1:8" x14ac:dyDescent="0.2">
      <c r="A2528" s="2" t="s">
        <v>2610</v>
      </c>
      <c r="B2528" s="2" t="s">
        <v>2592</v>
      </c>
      <c r="C2528" s="2" t="s">
        <v>89</v>
      </c>
      <c r="D2528" s="3">
        <v>3657</v>
      </c>
      <c r="E2528" s="4" t="s">
        <v>30</v>
      </c>
      <c r="F2528" s="5">
        <v>2.96</v>
      </c>
      <c r="G2528" s="4" t="s">
        <v>31</v>
      </c>
      <c r="H2528" s="6">
        <f t="shared" si="39"/>
        <v>10824.72</v>
      </c>
    </row>
    <row r="2529" spans="1:8" x14ac:dyDescent="0.2">
      <c r="A2529" s="2" t="s">
        <v>2611</v>
      </c>
      <c r="B2529" s="2" t="s">
        <v>2592</v>
      </c>
      <c r="C2529" s="2" t="s">
        <v>48</v>
      </c>
      <c r="D2529" s="3">
        <v>170</v>
      </c>
      <c r="E2529" s="4" t="s">
        <v>24</v>
      </c>
      <c r="F2529" s="5">
        <v>0.18</v>
      </c>
      <c r="G2529" s="4" t="s">
        <v>25</v>
      </c>
      <c r="H2529" s="6">
        <f t="shared" si="39"/>
        <v>30.599999999999998</v>
      </c>
    </row>
    <row r="2530" spans="1:8" x14ac:dyDescent="0.2">
      <c r="A2530" s="2" t="s">
        <v>2612</v>
      </c>
      <c r="B2530" s="2" t="s">
        <v>2592</v>
      </c>
      <c r="C2530" s="2" t="s">
        <v>46</v>
      </c>
      <c r="D2530" s="3">
        <v>1997</v>
      </c>
      <c r="E2530" s="4" t="s">
        <v>20</v>
      </c>
      <c r="F2530" s="5">
        <v>2.4</v>
      </c>
      <c r="G2530" s="4" t="s">
        <v>21</v>
      </c>
      <c r="H2530" s="6">
        <f t="shared" si="39"/>
        <v>4792.8</v>
      </c>
    </row>
    <row r="2531" spans="1:8" x14ac:dyDescent="0.2">
      <c r="A2531" s="2" t="s">
        <v>2613</v>
      </c>
      <c r="B2531" s="2" t="s">
        <v>2592</v>
      </c>
      <c r="C2531" s="2" t="s">
        <v>46</v>
      </c>
      <c r="D2531" s="3">
        <v>3219</v>
      </c>
      <c r="E2531" s="4" t="s">
        <v>20</v>
      </c>
      <c r="F2531" s="5">
        <v>2.1</v>
      </c>
      <c r="G2531" s="4" t="s">
        <v>21</v>
      </c>
      <c r="H2531" s="6">
        <f t="shared" si="39"/>
        <v>6759.9000000000005</v>
      </c>
    </row>
    <row r="2532" spans="1:8" x14ac:dyDescent="0.2">
      <c r="A2532" s="2" t="s">
        <v>2614</v>
      </c>
      <c r="B2532" s="2" t="s">
        <v>2592</v>
      </c>
      <c r="C2532" s="2" t="s">
        <v>33</v>
      </c>
      <c r="D2532" s="3">
        <v>851</v>
      </c>
      <c r="E2532" s="4" t="s">
        <v>34</v>
      </c>
      <c r="F2532" s="5">
        <v>5.08</v>
      </c>
      <c r="G2532" s="4" t="s">
        <v>35</v>
      </c>
      <c r="H2532" s="6">
        <f t="shared" si="39"/>
        <v>4323.08</v>
      </c>
    </row>
    <row r="2533" spans="1:8" x14ac:dyDescent="0.2">
      <c r="A2533" s="2" t="s">
        <v>2615</v>
      </c>
      <c r="B2533" s="2" t="s">
        <v>2592</v>
      </c>
      <c r="C2533" s="2" t="s">
        <v>52</v>
      </c>
      <c r="D2533" s="3">
        <v>3415</v>
      </c>
      <c r="E2533" s="4" t="s">
        <v>53</v>
      </c>
      <c r="F2533" s="5">
        <v>13.24</v>
      </c>
      <c r="G2533" s="4" t="s">
        <v>54</v>
      </c>
      <c r="H2533" s="6">
        <f t="shared" si="39"/>
        <v>45214.6</v>
      </c>
    </row>
    <row r="2534" spans="1:8" x14ac:dyDescent="0.2">
      <c r="A2534" s="2" t="s">
        <v>2616</v>
      </c>
      <c r="B2534" s="2" t="s">
        <v>2592</v>
      </c>
      <c r="C2534" s="2" t="s">
        <v>46</v>
      </c>
      <c r="D2534" s="3">
        <v>4891</v>
      </c>
      <c r="E2534" s="4" t="s">
        <v>20</v>
      </c>
      <c r="F2534" s="5">
        <v>3.46</v>
      </c>
      <c r="G2534" s="4" t="s">
        <v>21</v>
      </c>
      <c r="H2534" s="6">
        <f t="shared" si="39"/>
        <v>16922.86</v>
      </c>
    </row>
    <row r="2535" spans="1:8" x14ac:dyDescent="0.2">
      <c r="A2535" s="2" t="s">
        <v>2617</v>
      </c>
      <c r="B2535" s="2" t="s">
        <v>2592</v>
      </c>
      <c r="C2535" s="2" t="s">
        <v>71</v>
      </c>
      <c r="D2535" s="3">
        <v>313</v>
      </c>
      <c r="E2535" s="4" t="s">
        <v>72</v>
      </c>
      <c r="F2535" s="5">
        <v>2692.5</v>
      </c>
      <c r="G2535" s="4" t="s">
        <v>73</v>
      </c>
      <c r="H2535" s="6">
        <f t="shared" si="39"/>
        <v>842752.5</v>
      </c>
    </row>
    <row r="2536" spans="1:8" x14ac:dyDescent="0.2">
      <c r="A2536" s="2" t="s">
        <v>2618</v>
      </c>
      <c r="B2536" s="2" t="s">
        <v>2592</v>
      </c>
      <c r="C2536" s="2" t="s">
        <v>48</v>
      </c>
      <c r="D2536" s="3">
        <v>4215</v>
      </c>
      <c r="E2536" s="4" t="s">
        <v>24</v>
      </c>
      <c r="F2536" s="5">
        <v>0.14000000000000001</v>
      </c>
      <c r="G2536" s="4" t="s">
        <v>25</v>
      </c>
      <c r="H2536" s="6">
        <f t="shared" si="39"/>
        <v>590.1</v>
      </c>
    </row>
    <row r="2537" spans="1:8" x14ac:dyDescent="0.2">
      <c r="A2537" s="2" t="s">
        <v>2619</v>
      </c>
      <c r="B2537" s="2" t="s">
        <v>2592</v>
      </c>
      <c r="C2537" s="2" t="s">
        <v>147</v>
      </c>
      <c r="D2537" s="3">
        <v>4006</v>
      </c>
      <c r="E2537" s="4" t="s">
        <v>53</v>
      </c>
      <c r="F2537" s="5">
        <v>9.86</v>
      </c>
      <c r="G2537" s="4" t="s">
        <v>54</v>
      </c>
      <c r="H2537" s="6">
        <f t="shared" si="39"/>
        <v>39499.159999999996</v>
      </c>
    </row>
    <row r="2538" spans="1:8" x14ac:dyDescent="0.2">
      <c r="A2538" s="2" t="s">
        <v>2620</v>
      </c>
      <c r="B2538" s="2" t="s">
        <v>2592</v>
      </c>
      <c r="C2538" s="2" t="s">
        <v>37</v>
      </c>
      <c r="D2538" s="3">
        <v>4337</v>
      </c>
      <c r="E2538" s="4" t="s">
        <v>38</v>
      </c>
      <c r="F2538" s="5">
        <v>2.06</v>
      </c>
      <c r="G2538" s="4" t="s">
        <v>39</v>
      </c>
      <c r="H2538" s="6">
        <f t="shared" si="39"/>
        <v>8934.2199999999993</v>
      </c>
    </row>
    <row r="2539" spans="1:8" x14ac:dyDescent="0.2">
      <c r="A2539" s="2" t="s">
        <v>2621</v>
      </c>
      <c r="B2539" s="2" t="s">
        <v>2592</v>
      </c>
      <c r="C2539" s="2" t="s">
        <v>46</v>
      </c>
      <c r="D2539" s="3">
        <v>2597</v>
      </c>
      <c r="E2539" s="4" t="s">
        <v>20</v>
      </c>
      <c r="F2539" s="5">
        <v>3.11</v>
      </c>
      <c r="G2539" s="4" t="s">
        <v>21</v>
      </c>
      <c r="H2539" s="6">
        <f t="shared" si="39"/>
        <v>8076.67</v>
      </c>
    </row>
    <row r="2540" spans="1:8" x14ac:dyDescent="0.2">
      <c r="A2540" s="2" t="s">
        <v>2622</v>
      </c>
      <c r="B2540" s="2" t="s">
        <v>2592</v>
      </c>
      <c r="C2540" s="2" t="s">
        <v>86</v>
      </c>
      <c r="D2540" s="3">
        <v>3427</v>
      </c>
      <c r="E2540" s="4" t="s">
        <v>72</v>
      </c>
      <c r="F2540" s="5">
        <v>9044.7999999999993</v>
      </c>
      <c r="G2540" s="4" t="s">
        <v>73</v>
      </c>
      <c r="H2540" s="6">
        <f t="shared" si="39"/>
        <v>30996529.599999998</v>
      </c>
    </row>
    <row r="2541" spans="1:8" x14ac:dyDescent="0.2">
      <c r="A2541" s="2" t="s">
        <v>2623</v>
      </c>
      <c r="B2541" s="2" t="s">
        <v>2592</v>
      </c>
      <c r="C2541" s="2" t="s">
        <v>50</v>
      </c>
      <c r="D2541" s="3">
        <v>4063</v>
      </c>
      <c r="E2541" s="4" t="s">
        <v>20</v>
      </c>
      <c r="F2541" s="5">
        <v>1.07</v>
      </c>
      <c r="G2541" s="4" t="s">
        <v>21</v>
      </c>
      <c r="H2541" s="6">
        <f t="shared" si="39"/>
        <v>4347.41</v>
      </c>
    </row>
    <row r="2542" spans="1:8" x14ac:dyDescent="0.2">
      <c r="A2542" s="2" t="s">
        <v>2624</v>
      </c>
      <c r="B2542" s="2" t="s">
        <v>2592</v>
      </c>
      <c r="C2542" s="2" t="s">
        <v>19</v>
      </c>
      <c r="D2542" s="3">
        <v>3682</v>
      </c>
      <c r="E2542" s="4" t="s">
        <v>20</v>
      </c>
      <c r="F2542" s="5">
        <v>1.52</v>
      </c>
      <c r="G2542" s="4" t="s">
        <v>21</v>
      </c>
      <c r="H2542" s="6">
        <f t="shared" si="39"/>
        <v>5596.64</v>
      </c>
    </row>
    <row r="2543" spans="1:8" x14ac:dyDescent="0.2">
      <c r="A2543" s="2" t="s">
        <v>2625</v>
      </c>
      <c r="B2543" s="2" t="s">
        <v>2592</v>
      </c>
      <c r="C2543" s="2" t="s">
        <v>33</v>
      </c>
      <c r="D2543" s="3">
        <v>1331</v>
      </c>
      <c r="E2543" s="4" t="s">
        <v>34</v>
      </c>
      <c r="F2543" s="5">
        <v>4.22</v>
      </c>
      <c r="G2543" s="4" t="s">
        <v>35</v>
      </c>
      <c r="H2543" s="6">
        <f t="shared" si="39"/>
        <v>5616.82</v>
      </c>
    </row>
    <row r="2544" spans="1:8" x14ac:dyDescent="0.2">
      <c r="A2544" s="2" t="s">
        <v>2626</v>
      </c>
      <c r="B2544" s="2" t="s">
        <v>2592</v>
      </c>
      <c r="C2544" s="2" t="s">
        <v>44</v>
      </c>
      <c r="D2544" s="3">
        <v>3854</v>
      </c>
      <c r="E2544" s="4" t="s">
        <v>24</v>
      </c>
      <c r="F2544" s="5">
        <v>1.1399999999999999</v>
      </c>
      <c r="G2544" s="4" t="s">
        <v>25</v>
      </c>
      <c r="H2544" s="6">
        <f t="shared" si="39"/>
        <v>4393.5599999999995</v>
      </c>
    </row>
    <row r="2545" spans="1:8" x14ac:dyDescent="0.2">
      <c r="A2545" s="2" t="s">
        <v>2627</v>
      </c>
      <c r="B2545" s="2" t="s">
        <v>2592</v>
      </c>
      <c r="C2545" s="2" t="s">
        <v>42</v>
      </c>
      <c r="D2545" s="3">
        <v>4168</v>
      </c>
      <c r="E2545" s="4" t="s">
        <v>24</v>
      </c>
      <c r="F2545" s="5">
        <v>4.16</v>
      </c>
      <c r="G2545" s="4" t="s">
        <v>25</v>
      </c>
      <c r="H2545" s="6">
        <f t="shared" si="39"/>
        <v>17338.88</v>
      </c>
    </row>
    <row r="2546" spans="1:8" x14ac:dyDescent="0.2">
      <c r="A2546" s="2" t="s">
        <v>2628</v>
      </c>
      <c r="B2546" s="2" t="s">
        <v>2592</v>
      </c>
      <c r="C2546" s="2" t="s">
        <v>57</v>
      </c>
      <c r="D2546" s="3">
        <v>4942</v>
      </c>
      <c r="E2546" s="4" t="s">
        <v>20</v>
      </c>
      <c r="F2546" s="5">
        <v>0.94</v>
      </c>
      <c r="G2546" s="4" t="s">
        <v>21</v>
      </c>
      <c r="H2546" s="6">
        <f t="shared" si="39"/>
        <v>4645.4799999999996</v>
      </c>
    </row>
    <row r="2547" spans="1:8" x14ac:dyDescent="0.2">
      <c r="A2547" s="2" t="s">
        <v>2629</v>
      </c>
      <c r="B2547" s="2" t="s">
        <v>2592</v>
      </c>
      <c r="C2547" s="2" t="s">
        <v>23</v>
      </c>
      <c r="D2547" s="3">
        <v>1084</v>
      </c>
      <c r="E2547" s="4" t="s">
        <v>24</v>
      </c>
      <c r="F2547" s="5">
        <v>17.3</v>
      </c>
      <c r="G2547" s="4" t="s">
        <v>25</v>
      </c>
      <c r="H2547" s="6">
        <f t="shared" si="39"/>
        <v>18753.2</v>
      </c>
    </row>
    <row r="2548" spans="1:8" x14ac:dyDescent="0.2">
      <c r="A2548" s="2" t="s">
        <v>2630</v>
      </c>
      <c r="B2548" s="2" t="s">
        <v>2592</v>
      </c>
      <c r="C2548" s="2" t="s">
        <v>67</v>
      </c>
      <c r="D2548" s="3">
        <v>3424</v>
      </c>
      <c r="E2548" s="4" t="s">
        <v>24</v>
      </c>
      <c r="F2548" s="5">
        <v>0.55000000000000004</v>
      </c>
      <c r="G2548" s="4" t="s">
        <v>25</v>
      </c>
      <c r="H2548" s="6">
        <f t="shared" si="39"/>
        <v>1883.2</v>
      </c>
    </row>
    <row r="2549" spans="1:8" x14ac:dyDescent="0.2">
      <c r="A2549" s="2" t="s">
        <v>2631</v>
      </c>
      <c r="B2549" s="2" t="s">
        <v>2592</v>
      </c>
      <c r="C2549" s="2" t="s">
        <v>19</v>
      </c>
      <c r="D2549" s="3">
        <v>3879</v>
      </c>
      <c r="E2549" s="4" t="s">
        <v>20</v>
      </c>
      <c r="F2549" s="5">
        <v>1.58</v>
      </c>
      <c r="G2549" s="4" t="s">
        <v>21</v>
      </c>
      <c r="H2549" s="6">
        <f t="shared" si="39"/>
        <v>6128.8200000000006</v>
      </c>
    </row>
    <row r="2550" spans="1:8" x14ac:dyDescent="0.2">
      <c r="A2550" s="2" t="s">
        <v>2632</v>
      </c>
      <c r="B2550" s="2" t="s">
        <v>2592</v>
      </c>
      <c r="C2550" s="2" t="s">
        <v>118</v>
      </c>
      <c r="D2550" s="3">
        <v>1707</v>
      </c>
      <c r="E2550" s="4" t="s">
        <v>24</v>
      </c>
      <c r="F2550" s="5">
        <v>0.6</v>
      </c>
      <c r="G2550" s="4" t="s">
        <v>25</v>
      </c>
      <c r="H2550" s="6">
        <f t="shared" si="39"/>
        <v>1024.2</v>
      </c>
    </row>
    <row r="2551" spans="1:8" x14ac:dyDescent="0.2">
      <c r="A2551" s="2" t="s">
        <v>2633</v>
      </c>
      <c r="B2551" s="2" t="s">
        <v>2592</v>
      </c>
      <c r="C2551" s="2" t="s">
        <v>27</v>
      </c>
      <c r="D2551" s="3">
        <v>3965</v>
      </c>
      <c r="E2551" s="4" t="s">
        <v>20</v>
      </c>
      <c r="F2551" s="5">
        <v>1.35</v>
      </c>
      <c r="G2551" s="4" t="s">
        <v>21</v>
      </c>
      <c r="H2551" s="6">
        <f t="shared" si="39"/>
        <v>5352.75</v>
      </c>
    </row>
    <row r="2552" spans="1:8" x14ac:dyDescent="0.2">
      <c r="A2552" s="2" t="s">
        <v>2634</v>
      </c>
      <c r="B2552" s="2" t="s">
        <v>2592</v>
      </c>
      <c r="C2552" s="2" t="s">
        <v>44</v>
      </c>
      <c r="D2552" s="3">
        <v>1290</v>
      </c>
      <c r="E2552" s="4" t="s">
        <v>24</v>
      </c>
      <c r="F2552" s="5">
        <v>1.32</v>
      </c>
      <c r="G2552" s="4" t="s">
        <v>25</v>
      </c>
      <c r="H2552" s="6">
        <f t="shared" si="39"/>
        <v>1702.8000000000002</v>
      </c>
    </row>
    <row r="2553" spans="1:8" x14ac:dyDescent="0.2">
      <c r="A2553" s="2" t="s">
        <v>2635</v>
      </c>
      <c r="B2553" s="2" t="s">
        <v>2592</v>
      </c>
      <c r="C2553" s="2" t="s">
        <v>50</v>
      </c>
      <c r="D2553" s="3">
        <v>3417</v>
      </c>
      <c r="E2553" s="4" t="s">
        <v>20</v>
      </c>
      <c r="F2553" s="5">
        <v>1.27</v>
      </c>
      <c r="G2553" s="4" t="s">
        <v>21</v>
      </c>
      <c r="H2553" s="6">
        <f t="shared" si="39"/>
        <v>4339.59</v>
      </c>
    </row>
    <row r="2554" spans="1:8" x14ac:dyDescent="0.2">
      <c r="A2554" s="2" t="s">
        <v>2636</v>
      </c>
      <c r="B2554" s="2" t="s">
        <v>2592</v>
      </c>
      <c r="C2554" s="2" t="s">
        <v>48</v>
      </c>
      <c r="D2554" s="3">
        <v>2497</v>
      </c>
      <c r="E2554" s="4" t="s">
        <v>24</v>
      </c>
      <c r="F2554" s="5">
        <v>0.09</v>
      </c>
      <c r="G2554" s="4" t="s">
        <v>25</v>
      </c>
      <c r="H2554" s="6">
        <f t="shared" si="39"/>
        <v>224.73</v>
      </c>
    </row>
    <row r="2555" spans="1:8" x14ac:dyDescent="0.2">
      <c r="A2555" s="2" t="s">
        <v>2637</v>
      </c>
      <c r="B2555" s="2" t="s">
        <v>2592</v>
      </c>
      <c r="C2555" s="2" t="s">
        <v>29</v>
      </c>
      <c r="D2555" s="3">
        <v>395</v>
      </c>
      <c r="E2555" s="4" t="s">
        <v>30</v>
      </c>
      <c r="F2555" s="5">
        <v>2.2000000000000002</v>
      </c>
      <c r="G2555" s="4" t="s">
        <v>31</v>
      </c>
      <c r="H2555" s="6">
        <f t="shared" si="39"/>
        <v>869.00000000000011</v>
      </c>
    </row>
    <row r="2556" spans="1:8" x14ac:dyDescent="0.2">
      <c r="A2556" s="2" t="s">
        <v>2638</v>
      </c>
      <c r="B2556" s="2" t="s">
        <v>2592</v>
      </c>
      <c r="C2556" s="2" t="s">
        <v>19</v>
      </c>
      <c r="D2556" s="3">
        <v>2146</v>
      </c>
      <c r="E2556" s="4" t="s">
        <v>20</v>
      </c>
      <c r="F2556" s="5">
        <v>1.31</v>
      </c>
      <c r="G2556" s="4" t="s">
        <v>21</v>
      </c>
      <c r="H2556" s="6">
        <f t="shared" si="39"/>
        <v>2811.26</v>
      </c>
    </row>
    <row r="2557" spans="1:8" x14ac:dyDescent="0.2">
      <c r="A2557" s="2" t="s">
        <v>2639</v>
      </c>
      <c r="B2557" s="2" t="s">
        <v>2592</v>
      </c>
      <c r="C2557" s="2" t="s">
        <v>118</v>
      </c>
      <c r="D2557" s="3">
        <v>1441</v>
      </c>
      <c r="E2557" s="4" t="s">
        <v>24</v>
      </c>
      <c r="F2557" s="5">
        <v>0.98</v>
      </c>
      <c r="G2557" s="4" t="s">
        <v>25</v>
      </c>
      <c r="H2557" s="6">
        <f t="shared" si="39"/>
        <v>1412.18</v>
      </c>
    </row>
    <row r="2558" spans="1:8" x14ac:dyDescent="0.2">
      <c r="A2558" s="2" t="s">
        <v>2640</v>
      </c>
      <c r="B2558" s="2" t="s">
        <v>2592</v>
      </c>
      <c r="C2558" s="2" t="s">
        <v>78</v>
      </c>
      <c r="D2558" s="3">
        <v>271</v>
      </c>
      <c r="E2558" s="4" t="s">
        <v>38</v>
      </c>
      <c r="F2558" s="5">
        <v>2.87</v>
      </c>
      <c r="G2558" s="4" t="s">
        <v>39</v>
      </c>
      <c r="H2558" s="6">
        <f t="shared" si="39"/>
        <v>777.77</v>
      </c>
    </row>
    <row r="2559" spans="1:8" x14ac:dyDescent="0.2">
      <c r="A2559" s="2" t="s">
        <v>2641</v>
      </c>
      <c r="B2559" s="2" t="s">
        <v>2592</v>
      </c>
      <c r="C2559" s="2" t="s">
        <v>57</v>
      </c>
      <c r="D2559" s="3">
        <v>3537</v>
      </c>
      <c r="E2559" s="4" t="s">
        <v>20</v>
      </c>
      <c r="F2559" s="5">
        <v>0.65</v>
      </c>
      <c r="G2559" s="4" t="s">
        <v>21</v>
      </c>
      <c r="H2559" s="6">
        <f t="shared" si="39"/>
        <v>2299.0500000000002</v>
      </c>
    </row>
    <row r="2560" spans="1:8" x14ac:dyDescent="0.2">
      <c r="A2560" s="2" t="s">
        <v>2642</v>
      </c>
      <c r="B2560" s="2" t="s">
        <v>2592</v>
      </c>
      <c r="C2560" s="2" t="s">
        <v>42</v>
      </c>
      <c r="D2560" s="3">
        <v>998</v>
      </c>
      <c r="E2560" s="4" t="s">
        <v>24</v>
      </c>
      <c r="F2560" s="5">
        <v>5.19</v>
      </c>
      <c r="G2560" s="4" t="s">
        <v>25</v>
      </c>
      <c r="H2560" s="6">
        <f t="shared" si="39"/>
        <v>5179.6200000000008</v>
      </c>
    </row>
    <row r="2561" spans="1:8" x14ac:dyDescent="0.2">
      <c r="A2561" s="2" t="s">
        <v>2643</v>
      </c>
      <c r="B2561" s="2" t="s">
        <v>2592</v>
      </c>
      <c r="C2561" s="2" t="s">
        <v>48</v>
      </c>
      <c r="D2561" s="3">
        <v>2122</v>
      </c>
      <c r="E2561" s="4" t="s">
        <v>24</v>
      </c>
      <c r="F2561" s="5">
        <v>0.2</v>
      </c>
      <c r="G2561" s="4" t="s">
        <v>25</v>
      </c>
      <c r="H2561" s="6">
        <f t="shared" si="39"/>
        <v>424.40000000000003</v>
      </c>
    </row>
    <row r="2562" spans="1:8" x14ac:dyDescent="0.2">
      <c r="A2562" s="2" t="s">
        <v>2644</v>
      </c>
      <c r="B2562" s="2" t="s">
        <v>2592</v>
      </c>
      <c r="C2562" s="2" t="s">
        <v>19</v>
      </c>
      <c r="D2562" s="3">
        <v>392</v>
      </c>
      <c r="E2562" s="4" t="s">
        <v>20</v>
      </c>
      <c r="F2562" s="5">
        <v>1.56</v>
      </c>
      <c r="G2562" s="4" t="s">
        <v>21</v>
      </c>
      <c r="H2562" s="6">
        <f t="shared" ref="H2562:H2625" si="40">D2562*F2562</f>
        <v>611.52</v>
      </c>
    </row>
    <row r="2563" spans="1:8" x14ac:dyDescent="0.2">
      <c r="A2563" s="2" t="s">
        <v>2645</v>
      </c>
      <c r="B2563" s="2" t="s">
        <v>2592</v>
      </c>
      <c r="C2563" s="2" t="s">
        <v>29</v>
      </c>
      <c r="D2563" s="3">
        <v>2201</v>
      </c>
      <c r="E2563" s="4" t="s">
        <v>30</v>
      </c>
      <c r="F2563" s="5">
        <v>2.08</v>
      </c>
      <c r="G2563" s="4" t="s">
        <v>31</v>
      </c>
      <c r="H2563" s="6">
        <f t="shared" si="40"/>
        <v>4578.08</v>
      </c>
    </row>
    <row r="2564" spans="1:8" x14ac:dyDescent="0.2">
      <c r="A2564" s="2" t="s">
        <v>2646</v>
      </c>
      <c r="B2564" s="2" t="s">
        <v>2592</v>
      </c>
      <c r="C2564" s="2" t="s">
        <v>78</v>
      </c>
      <c r="D2564" s="3">
        <v>4960</v>
      </c>
      <c r="E2564" s="4" t="s">
        <v>38</v>
      </c>
      <c r="F2564" s="5">
        <v>2.64</v>
      </c>
      <c r="G2564" s="4" t="s">
        <v>39</v>
      </c>
      <c r="H2564" s="6">
        <f t="shared" si="40"/>
        <v>13094.400000000001</v>
      </c>
    </row>
    <row r="2565" spans="1:8" x14ac:dyDescent="0.2">
      <c r="A2565" s="2" t="s">
        <v>2647</v>
      </c>
      <c r="B2565" s="2" t="s">
        <v>2592</v>
      </c>
      <c r="C2565" s="2" t="s">
        <v>37</v>
      </c>
      <c r="D2565" s="3">
        <v>3596</v>
      </c>
      <c r="E2565" s="4" t="s">
        <v>38</v>
      </c>
      <c r="F2565" s="5">
        <v>4.4000000000000004</v>
      </c>
      <c r="G2565" s="4" t="s">
        <v>39</v>
      </c>
      <c r="H2565" s="6">
        <f t="shared" si="40"/>
        <v>15822.400000000001</v>
      </c>
    </row>
    <row r="2566" spans="1:8" x14ac:dyDescent="0.2">
      <c r="A2566" s="2" t="s">
        <v>2648</v>
      </c>
      <c r="B2566" s="2" t="s">
        <v>2592</v>
      </c>
      <c r="C2566" s="2" t="s">
        <v>50</v>
      </c>
      <c r="D2566" s="3">
        <v>877</v>
      </c>
      <c r="E2566" s="4" t="s">
        <v>20</v>
      </c>
      <c r="F2566" s="5">
        <v>1.17</v>
      </c>
      <c r="G2566" s="4" t="s">
        <v>21</v>
      </c>
      <c r="H2566" s="6">
        <f t="shared" si="40"/>
        <v>1026.0899999999999</v>
      </c>
    </row>
    <row r="2567" spans="1:8" x14ac:dyDescent="0.2">
      <c r="A2567" s="2" t="s">
        <v>2649</v>
      </c>
      <c r="B2567" s="2" t="s">
        <v>2592</v>
      </c>
      <c r="C2567" s="2" t="s">
        <v>147</v>
      </c>
      <c r="D2567" s="3">
        <v>844</v>
      </c>
      <c r="E2567" s="4" t="s">
        <v>53</v>
      </c>
      <c r="F2567" s="5">
        <v>14.59</v>
      </c>
      <c r="G2567" s="4" t="s">
        <v>54</v>
      </c>
      <c r="H2567" s="6">
        <f t="shared" si="40"/>
        <v>12313.96</v>
      </c>
    </row>
    <row r="2568" spans="1:8" x14ac:dyDescent="0.2">
      <c r="A2568" s="2" t="s">
        <v>2650</v>
      </c>
      <c r="B2568" s="2" t="s">
        <v>2592</v>
      </c>
      <c r="C2568" s="2" t="s">
        <v>37</v>
      </c>
      <c r="D2568" s="3">
        <v>4165</v>
      </c>
      <c r="E2568" s="4" t="s">
        <v>38</v>
      </c>
      <c r="F2568" s="5">
        <v>2.3199999999999998</v>
      </c>
      <c r="G2568" s="4" t="s">
        <v>39</v>
      </c>
      <c r="H2568" s="6">
        <f t="shared" si="40"/>
        <v>9662.7999999999993</v>
      </c>
    </row>
    <row r="2569" spans="1:8" x14ac:dyDescent="0.2">
      <c r="A2569" s="2" t="s">
        <v>2651</v>
      </c>
      <c r="B2569" s="2" t="s">
        <v>2592</v>
      </c>
      <c r="C2569" s="2" t="s">
        <v>50</v>
      </c>
      <c r="D2569" s="3">
        <v>1692</v>
      </c>
      <c r="E2569" s="4" t="s">
        <v>20</v>
      </c>
      <c r="F2569" s="5">
        <v>1.25</v>
      </c>
      <c r="G2569" s="4" t="s">
        <v>21</v>
      </c>
      <c r="H2569" s="6">
        <f t="shared" si="40"/>
        <v>2115</v>
      </c>
    </row>
    <row r="2570" spans="1:8" x14ac:dyDescent="0.2">
      <c r="A2570" s="2" t="s">
        <v>2652</v>
      </c>
      <c r="B2570" s="2" t="s">
        <v>2592</v>
      </c>
      <c r="C2570" s="2" t="s">
        <v>118</v>
      </c>
      <c r="D2570" s="3">
        <v>2403</v>
      </c>
      <c r="E2570" s="4" t="s">
        <v>24</v>
      </c>
      <c r="F2570" s="5">
        <v>0.9</v>
      </c>
      <c r="G2570" s="4" t="s">
        <v>25</v>
      </c>
      <c r="H2570" s="6">
        <f t="shared" si="40"/>
        <v>2162.7000000000003</v>
      </c>
    </row>
    <row r="2571" spans="1:8" x14ac:dyDescent="0.2">
      <c r="A2571" s="2" t="s">
        <v>2653</v>
      </c>
      <c r="B2571" s="2" t="s">
        <v>2592</v>
      </c>
      <c r="C2571" s="2" t="s">
        <v>78</v>
      </c>
      <c r="D2571" s="3">
        <v>4092</v>
      </c>
      <c r="E2571" s="4" t="s">
        <v>38</v>
      </c>
      <c r="F2571" s="5">
        <v>2.75</v>
      </c>
      <c r="G2571" s="4" t="s">
        <v>39</v>
      </c>
      <c r="H2571" s="6">
        <f t="shared" si="40"/>
        <v>11253</v>
      </c>
    </row>
    <row r="2572" spans="1:8" x14ac:dyDescent="0.2">
      <c r="A2572" s="2" t="s">
        <v>2654</v>
      </c>
      <c r="B2572" s="2" t="s">
        <v>2592</v>
      </c>
      <c r="C2572" s="2" t="s">
        <v>50</v>
      </c>
      <c r="D2572" s="3">
        <v>1273</v>
      </c>
      <c r="E2572" s="4" t="s">
        <v>20</v>
      </c>
      <c r="F2572" s="5">
        <v>1.0900000000000001</v>
      </c>
      <c r="G2572" s="4" t="s">
        <v>21</v>
      </c>
      <c r="H2572" s="6">
        <f t="shared" si="40"/>
        <v>1387.5700000000002</v>
      </c>
    </row>
    <row r="2573" spans="1:8" x14ac:dyDescent="0.2">
      <c r="A2573" s="2" t="s">
        <v>2655</v>
      </c>
      <c r="B2573" s="2" t="s">
        <v>2592</v>
      </c>
      <c r="C2573" s="2" t="s">
        <v>57</v>
      </c>
      <c r="D2573" s="3">
        <v>1138</v>
      </c>
      <c r="E2573" s="4" t="s">
        <v>20</v>
      </c>
      <c r="F2573" s="5">
        <v>0.65</v>
      </c>
      <c r="G2573" s="4" t="s">
        <v>21</v>
      </c>
      <c r="H2573" s="6">
        <f t="shared" si="40"/>
        <v>739.7</v>
      </c>
    </row>
    <row r="2574" spans="1:8" x14ac:dyDescent="0.2">
      <c r="A2574" s="2" t="s">
        <v>2656</v>
      </c>
      <c r="B2574" s="2" t="s">
        <v>2592</v>
      </c>
      <c r="C2574" s="2" t="s">
        <v>44</v>
      </c>
      <c r="D2574" s="3">
        <v>3607</v>
      </c>
      <c r="E2574" s="4" t="s">
        <v>24</v>
      </c>
      <c r="F2574" s="5">
        <v>1.58</v>
      </c>
      <c r="G2574" s="4" t="s">
        <v>25</v>
      </c>
      <c r="H2574" s="6">
        <f t="shared" si="40"/>
        <v>5699.06</v>
      </c>
    </row>
    <row r="2575" spans="1:8" x14ac:dyDescent="0.2">
      <c r="A2575" s="2" t="s">
        <v>2657</v>
      </c>
      <c r="B2575" s="2" t="s">
        <v>2592</v>
      </c>
      <c r="C2575" s="2" t="s">
        <v>33</v>
      </c>
      <c r="D2575" s="3">
        <v>2019</v>
      </c>
      <c r="E2575" s="4" t="s">
        <v>34</v>
      </c>
      <c r="F2575" s="5">
        <v>5.59</v>
      </c>
      <c r="G2575" s="4" t="s">
        <v>35</v>
      </c>
      <c r="H2575" s="6">
        <f t="shared" si="40"/>
        <v>11286.21</v>
      </c>
    </row>
    <row r="2576" spans="1:8" x14ac:dyDescent="0.2">
      <c r="A2576" s="2" t="s">
        <v>2658</v>
      </c>
      <c r="B2576" s="2" t="s">
        <v>2592</v>
      </c>
      <c r="C2576" s="2" t="s">
        <v>48</v>
      </c>
      <c r="D2576" s="3">
        <v>2806</v>
      </c>
      <c r="E2576" s="4" t="s">
        <v>24</v>
      </c>
      <c r="F2576" s="5">
        <v>0.09</v>
      </c>
      <c r="G2576" s="4" t="s">
        <v>25</v>
      </c>
      <c r="H2576" s="6">
        <f t="shared" si="40"/>
        <v>252.54</v>
      </c>
    </row>
    <row r="2577" spans="1:8" x14ac:dyDescent="0.2">
      <c r="A2577" s="2" t="s">
        <v>2659</v>
      </c>
      <c r="B2577" s="2" t="s">
        <v>2592</v>
      </c>
      <c r="C2577" s="2" t="s">
        <v>118</v>
      </c>
      <c r="D2577" s="3">
        <v>708</v>
      </c>
      <c r="E2577" s="4" t="s">
        <v>24</v>
      </c>
      <c r="F2577" s="5">
        <v>0.59</v>
      </c>
      <c r="G2577" s="4" t="s">
        <v>25</v>
      </c>
      <c r="H2577" s="6">
        <f t="shared" si="40"/>
        <v>417.71999999999997</v>
      </c>
    </row>
    <row r="2578" spans="1:8" x14ac:dyDescent="0.2">
      <c r="A2578" s="2" t="s">
        <v>2660</v>
      </c>
      <c r="B2578" s="2" t="s">
        <v>2592</v>
      </c>
      <c r="C2578" s="2" t="s">
        <v>52</v>
      </c>
      <c r="D2578" s="3">
        <v>2964</v>
      </c>
      <c r="E2578" s="4" t="s">
        <v>53</v>
      </c>
      <c r="F2578" s="5">
        <v>12.15</v>
      </c>
      <c r="G2578" s="4" t="s">
        <v>54</v>
      </c>
      <c r="H2578" s="6">
        <f t="shared" si="40"/>
        <v>36012.6</v>
      </c>
    </row>
    <row r="2579" spans="1:8" x14ac:dyDescent="0.2">
      <c r="A2579" s="2" t="s">
        <v>2661</v>
      </c>
      <c r="B2579" s="2" t="s">
        <v>2592</v>
      </c>
      <c r="C2579" s="2" t="s">
        <v>42</v>
      </c>
      <c r="D2579" s="3">
        <v>1251</v>
      </c>
      <c r="E2579" s="4" t="s">
        <v>24</v>
      </c>
      <c r="F2579" s="5">
        <v>5.76</v>
      </c>
      <c r="G2579" s="4" t="s">
        <v>25</v>
      </c>
      <c r="H2579" s="6">
        <f t="shared" si="40"/>
        <v>7205.7599999999993</v>
      </c>
    </row>
    <row r="2580" spans="1:8" x14ac:dyDescent="0.2">
      <c r="A2580" s="2" t="s">
        <v>2662</v>
      </c>
      <c r="B2580" s="2" t="s">
        <v>2592</v>
      </c>
      <c r="C2580" s="2" t="s">
        <v>78</v>
      </c>
      <c r="D2580" s="3">
        <v>3464</v>
      </c>
      <c r="E2580" s="4" t="s">
        <v>38</v>
      </c>
      <c r="F2580" s="5">
        <v>2.84</v>
      </c>
      <c r="G2580" s="4" t="s">
        <v>39</v>
      </c>
      <c r="H2580" s="6">
        <f t="shared" si="40"/>
        <v>9837.76</v>
      </c>
    </row>
    <row r="2581" spans="1:8" x14ac:dyDescent="0.2">
      <c r="A2581" s="2" t="s">
        <v>2663</v>
      </c>
      <c r="B2581" s="2" t="s">
        <v>2592</v>
      </c>
      <c r="C2581" s="2" t="s">
        <v>89</v>
      </c>
      <c r="D2581" s="3">
        <v>3522</v>
      </c>
      <c r="E2581" s="4" t="s">
        <v>30</v>
      </c>
      <c r="F2581" s="5">
        <v>2.2999999999999998</v>
      </c>
      <c r="G2581" s="4" t="s">
        <v>31</v>
      </c>
      <c r="H2581" s="6">
        <f t="shared" si="40"/>
        <v>8100.5999999999995</v>
      </c>
    </row>
    <row r="2582" spans="1:8" x14ac:dyDescent="0.2">
      <c r="A2582" s="2" t="s">
        <v>2664</v>
      </c>
      <c r="B2582" s="2" t="s">
        <v>2592</v>
      </c>
      <c r="C2582" s="2" t="s">
        <v>52</v>
      </c>
      <c r="D2582" s="3">
        <v>3768</v>
      </c>
      <c r="E2582" s="4" t="s">
        <v>53</v>
      </c>
      <c r="F2582" s="5">
        <v>13.76</v>
      </c>
      <c r="G2582" s="4" t="s">
        <v>54</v>
      </c>
      <c r="H2582" s="6">
        <f t="shared" si="40"/>
        <v>51847.68</v>
      </c>
    </row>
    <row r="2583" spans="1:8" x14ac:dyDescent="0.2">
      <c r="A2583" s="2" t="s">
        <v>2665</v>
      </c>
      <c r="B2583" s="2" t="s">
        <v>2592</v>
      </c>
      <c r="C2583" s="2" t="s">
        <v>78</v>
      </c>
      <c r="D2583" s="3">
        <v>2973</v>
      </c>
      <c r="E2583" s="4" t="s">
        <v>38</v>
      </c>
      <c r="F2583" s="5">
        <v>3.1</v>
      </c>
      <c r="G2583" s="4" t="s">
        <v>39</v>
      </c>
      <c r="H2583" s="6">
        <f t="shared" si="40"/>
        <v>9216.3000000000011</v>
      </c>
    </row>
    <row r="2584" spans="1:8" x14ac:dyDescent="0.2">
      <c r="A2584" s="2" t="s">
        <v>2666</v>
      </c>
      <c r="B2584" s="2" t="s">
        <v>2592</v>
      </c>
      <c r="C2584" s="2" t="s">
        <v>23</v>
      </c>
      <c r="D2584" s="3">
        <v>1202</v>
      </c>
      <c r="E2584" s="4" t="s">
        <v>24</v>
      </c>
      <c r="F2584" s="5">
        <v>16.62</v>
      </c>
      <c r="G2584" s="4" t="s">
        <v>25</v>
      </c>
      <c r="H2584" s="6">
        <f t="shared" si="40"/>
        <v>19977.240000000002</v>
      </c>
    </row>
    <row r="2585" spans="1:8" x14ac:dyDescent="0.2">
      <c r="A2585" s="2" t="s">
        <v>2667</v>
      </c>
      <c r="B2585" s="2" t="s">
        <v>2592</v>
      </c>
      <c r="C2585" s="2" t="s">
        <v>78</v>
      </c>
      <c r="D2585" s="3">
        <v>580</v>
      </c>
      <c r="E2585" s="4" t="s">
        <v>38</v>
      </c>
      <c r="F2585" s="5">
        <v>1.64</v>
      </c>
      <c r="G2585" s="4" t="s">
        <v>39</v>
      </c>
      <c r="H2585" s="6">
        <f t="shared" si="40"/>
        <v>951.19999999999993</v>
      </c>
    </row>
    <row r="2586" spans="1:8" x14ac:dyDescent="0.2">
      <c r="A2586" s="2" t="s">
        <v>2668</v>
      </c>
      <c r="B2586" s="2" t="s">
        <v>2592</v>
      </c>
      <c r="C2586" s="2" t="s">
        <v>57</v>
      </c>
      <c r="D2586" s="3">
        <v>3300</v>
      </c>
      <c r="E2586" s="4" t="s">
        <v>20</v>
      </c>
      <c r="F2586" s="5">
        <v>0.99</v>
      </c>
      <c r="G2586" s="4" t="s">
        <v>21</v>
      </c>
      <c r="H2586" s="6">
        <f t="shared" si="40"/>
        <v>3267</v>
      </c>
    </row>
    <row r="2587" spans="1:8" x14ac:dyDescent="0.2">
      <c r="A2587" s="2" t="s">
        <v>2669</v>
      </c>
      <c r="B2587" s="2" t="s">
        <v>2592</v>
      </c>
      <c r="C2587" s="2" t="s">
        <v>118</v>
      </c>
      <c r="D2587" s="3">
        <v>3565</v>
      </c>
      <c r="E2587" s="4" t="s">
        <v>24</v>
      </c>
      <c r="F2587" s="5">
        <v>0.44</v>
      </c>
      <c r="G2587" s="4" t="s">
        <v>25</v>
      </c>
      <c r="H2587" s="6">
        <f t="shared" si="40"/>
        <v>1568.6</v>
      </c>
    </row>
    <row r="2588" spans="1:8" x14ac:dyDescent="0.2">
      <c r="A2588" s="2" t="s">
        <v>2670</v>
      </c>
      <c r="B2588" s="2" t="s">
        <v>2592</v>
      </c>
      <c r="C2588" s="2" t="s">
        <v>37</v>
      </c>
      <c r="D2588" s="3">
        <v>1246</v>
      </c>
      <c r="E2588" s="4" t="s">
        <v>38</v>
      </c>
      <c r="F2588" s="5">
        <v>4.71</v>
      </c>
      <c r="G2588" s="4" t="s">
        <v>39</v>
      </c>
      <c r="H2588" s="6">
        <f t="shared" si="40"/>
        <v>5868.66</v>
      </c>
    </row>
    <row r="2589" spans="1:8" x14ac:dyDescent="0.2">
      <c r="A2589" s="2" t="s">
        <v>2671</v>
      </c>
      <c r="B2589" s="2" t="s">
        <v>2592</v>
      </c>
      <c r="C2589" s="2" t="s">
        <v>37</v>
      </c>
      <c r="D2589" s="3">
        <v>4268</v>
      </c>
      <c r="E2589" s="4" t="s">
        <v>38</v>
      </c>
      <c r="F2589" s="5">
        <v>4.92</v>
      </c>
      <c r="G2589" s="4" t="s">
        <v>39</v>
      </c>
      <c r="H2589" s="6">
        <f t="shared" si="40"/>
        <v>20998.560000000001</v>
      </c>
    </row>
    <row r="2590" spans="1:8" x14ac:dyDescent="0.2">
      <c r="A2590" s="2" t="s">
        <v>2672</v>
      </c>
      <c r="B2590" s="2" t="s">
        <v>2592</v>
      </c>
      <c r="C2590" s="2" t="s">
        <v>52</v>
      </c>
      <c r="D2590" s="3">
        <v>3303</v>
      </c>
      <c r="E2590" s="4" t="s">
        <v>53</v>
      </c>
      <c r="F2590" s="5">
        <v>13.43</v>
      </c>
      <c r="G2590" s="4" t="s">
        <v>54</v>
      </c>
      <c r="H2590" s="6">
        <f t="shared" si="40"/>
        <v>44359.29</v>
      </c>
    </row>
    <row r="2591" spans="1:8" x14ac:dyDescent="0.2">
      <c r="A2591" s="2" t="s">
        <v>2673</v>
      </c>
      <c r="B2591" s="2" t="s">
        <v>2592</v>
      </c>
      <c r="C2591" s="2" t="s">
        <v>29</v>
      </c>
      <c r="D2591" s="3">
        <v>2503</v>
      </c>
      <c r="E2591" s="4" t="s">
        <v>30</v>
      </c>
      <c r="F2591" s="5">
        <v>1.87</v>
      </c>
      <c r="G2591" s="4" t="s">
        <v>31</v>
      </c>
      <c r="H2591" s="6">
        <f t="shared" si="40"/>
        <v>4680.6100000000006</v>
      </c>
    </row>
    <row r="2592" spans="1:8" x14ac:dyDescent="0.2">
      <c r="A2592" s="2" t="s">
        <v>2674</v>
      </c>
      <c r="B2592" s="2" t="s">
        <v>2592</v>
      </c>
      <c r="C2592" s="2" t="s">
        <v>57</v>
      </c>
      <c r="D2592" s="3">
        <v>2829</v>
      </c>
      <c r="E2592" s="4" t="s">
        <v>20</v>
      </c>
      <c r="F2592" s="5">
        <v>0.6</v>
      </c>
      <c r="G2592" s="4" t="s">
        <v>21</v>
      </c>
      <c r="H2592" s="6">
        <f t="shared" si="40"/>
        <v>1697.3999999999999</v>
      </c>
    </row>
    <row r="2593" spans="1:8" x14ac:dyDescent="0.2">
      <c r="A2593" s="2" t="s">
        <v>2675</v>
      </c>
      <c r="B2593" s="2" t="s">
        <v>2592</v>
      </c>
      <c r="C2593" s="2" t="s">
        <v>86</v>
      </c>
      <c r="D2593" s="3">
        <v>4333</v>
      </c>
      <c r="E2593" s="4" t="s">
        <v>72</v>
      </c>
      <c r="F2593" s="5">
        <v>8654.56</v>
      </c>
      <c r="G2593" s="4" t="s">
        <v>73</v>
      </c>
      <c r="H2593" s="6">
        <f t="shared" si="40"/>
        <v>37500208.479999997</v>
      </c>
    </row>
    <row r="2594" spans="1:8" x14ac:dyDescent="0.2">
      <c r="A2594" s="2" t="s">
        <v>2676</v>
      </c>
      <c r="B2594" s="2" t="s">
        <v>2592</v>
      </c>
      <c r="C2594" s="2" t="s">
        <v>89</v>
      </c>
      <c r="D2594" s="3">
        <v>3319</v>
      </c>
      <c r="E2594" s="4" t="s">
        <v>30</v>
      </c>
      <c r="F2594" s="5">
        <v>2.34</v>
      </c>
      <c r="G2594" s="4" t="s">
        <v>31</v>
      </c>
      <c r="H2594" s="6">
        <f t="shared" si="40"/>
        <v>7766.4599999999991</v>
      </c>
    </row>
    <row r="2595" spans="1:8" x14ac:dyDescent="0.2">
      <c r="A2595" s="2" t="s">
        <v>2677</v>
      </c>
      <c r="B2595" s="2" t="s">
        <v>2592</v>
      </c>
      <c r="C2595" s="2" t="s">
        <v>44</v>
      </c>
      <c r="D2595" s="3">
        <v>4469</v>
      </c>
      <c r="E2595" s="4" t="s">
        <v>24</v>
      </c>
      <c r="F2595" s="5">
        <v>1.34</v>
      </c>
      <c r="G2595" s="4" t="s">
        <v>25</v>
      </c>
      <c r="H2595" s="6">
        <f t="shared" si="40"/>
        <v>5988.46</v>
      </c>
    </row>
    <row r="2596" spans="1:8" x14ac:dyDescent="0.2">
      <c r="A2596" s="2" t="s">
        <v>2678</v>
      </c>
      <c r="B2596" s="2" t="s">
        <v>2592</v>
      </c>
      <c r="C2596" s="2" t="s">
        <v>147</v>
      </c>
      <c r="D2596" s="3">
        <v>3632</v>
      </c>
      <c r="E2596" s="4" t="s">
        <v>53</v>
      </c>
      <c r="F2596" s="5">
        <v>13.58</v>
      </c>
      <c r="G2596" s="4" t="s">
        <v>54</v>
      </c>
      <c r="H2596" s="6">
        <f t="shared" si="40"/>
        <v>49322.559999999998</v>
      </c>
    </row>
    <row r="2597" spans="1:8" x14ac:dyDescent="0.2">
      <c r="A2597" s="2" t="s">
        <v>2679</v>
      </c>
      <c r="B2597" s="2" t="s">
        <v>2592</v>
      </c>
      <c r="C2597" s="2" t="s">
        <v>67</v>
      </c>
      <c r="D2597" s="3">
        <v>1626</v>
      </c>
      <c r="E2597" s="4" t="s">
        <v>24</v>
      </c>
      <c r="F2597" s="5">
        <v>0.56000000000000005</v>
      </c>
      <c r="G2597" s="4" t="s">
        <v>25</v>
      </c>
      <c r="H2597" s="6">
        <f t="shared" si="40"/>
        <v>910.56000000000006</v>
      </c>
    </row>
    <row r="2598" spans="1:8" x14ac:dyDescent="0.2">
      <c r="A2598" s="2" t="s">
        <v>2680</v>
      </c>
      <c r="B2598" s="2" t="s">
        <v>2592</v>
      </c>
      <c r="C2598" s="2" t="s">
        <v>27</v>
      </c>
      <c r="D2598" s="3">
        <v>312</v>
      </c>
      <c r="E2598" s="4" t="s">
        <v>20</v>
      </c>
      <c r="F2598" s="5">
        <v>1.84</v>
      </c>
      <c r="G2598" s="4" t="s">
        <v>21</v>
      </c>
      <c r="H2598" s="6">
        <f t="shared" si="40"/>
        <v>574.08000000000004</v>
      </c>
    </row>
    <row r="2599" spans="1:8" x14ac:dyDescent="0.2">
      <c r="A2599" s="2" t="s">
        <v>2681</v>
      </c>
      <c r="B2599" s="2" t="s">
        <v>2592</v>
      </c>
      <c r="C2599" s="2" t="s">
        <v>67</v>
      </c>
      <c r="D2599" s="3">
        <v>1042</v>
      </c>
      <c r="E2599" s="4" t="s">
        <v>24</v>
      </c>
      <c r="F2599" s="5">
        <v>0.46</v>
      </c>
      <c r="G2599" s="4" t="s">
        <v>25</v>
      </c>
      <c r="H2599" s="6">
        <f t="shared" si="40"/>
        <v>479.32</v>
      </c>
    </row>
    <row r="2600" spans="1:8" x14ac:dyDescent="0.2">
      <c r="A2600" s="2" t="s">
        <v>2682</v>
      </c>
      <c r="B2600" s="2" t="s">
        <v>2592</v>
      </c>
      <c r="C2600" s="2" t="s">
        <v>29</v>
      </c>
      <c r="D2600" s="3">
        <v>2335</v>
      </c>
      <c r="E2600" s="4" t="s">
        <v>30</v>
      </c>
      <c r="F2600" s="5">
        <v>1.26</v>
      </c>
      <c r="G2600" s="4" t="s">
        <v>31</v>
      </c>
      <c r="H2600" s="6">
        <f t="shared" si="40"/>
        <v>2942.1</v>
      </c>
    </row>
    <row r="2601" spans="1:8" x14ac:dyDescent="0.2">
      <c r="A2601" s="2" t="s">
        <v>2683</v>
      </c>
      <c r="B2601" s="2" t="s">
        <v>2592</v>
      </c>
      <c r="C2601" s="2" t="s">
        <v>78</v>
      </c>
      <c r="D2601" s="3">
        <v>4530</v>
      </c>
      <c r="E2601" s="4" t="s">
        <v>38</v>
      </c>
      <c r="F2601" s="5">
        <v>2.0299999999999998</v>
      </c>
      <c r="G2601" s="4" t="s">
        <v>39</v>
      </c>
      <c r="H2601" s="6">
        <f t="shared" si="40"/>
        <v>9195.9</v>
      </c>
    </row>
    <row r="2602" spans="1:8" x14ac:dyDescent="0.2">
      <c r="A2602" s="2" t="s">
        <v>2684</v>
      </c>
      <c r="B2602" s="2" t="s">
        <v>2592</v>
      </c>
      <c r="C2602" s="2" t="s">
        <v>57</v>
      </c>
      <c r="D2602" s="3">
        <v>1320</v>
      </c>
      <c r="E2602" s="4" t="s">
        <v>20</v>
      </c>
      <c r="F2602" s="5">
        <v>0.61</v>
      </c>
      <c r="G2602" s="4" t="s">
        <v>21</v>
      </c>
      <c r="H2602" s="6">
        <f t="shared" si="40"/>
        <v>805.19999999999993</v>
      </c>
    </row>
    <row r="2603" spans="1:8" x14ac:dyDescent="0.2">
      <c r="A2603" s="2" t="s">
        <v>2685</v>
      </c>
      <c r="B2603" s="2" t="s">
        <v>2592</v>
      </c>
      <c r="C2603" s="2" t="s">
        <v>29</v>
      </c>
      <c r="D2603" s="3">
        <v>4863</v>
      </c>
      <c r="E2603" s="4" t="s">
        <v>30</v>
      </c>
      <c r="F2603" s="5">
        <v>1.31</v>
      </c>
      <c r="G2603" s="4" t="s">
        <v>31</v>
      </c>
      <c r="H2603" s="6">
        <f t="shared" si="40"/>
        <v>6370.5300000000007</v>
      </c>
    </row>
    <row r="2604" spans="1:8" x14ac:dyDescent="0.2">
      <c r="A2604" s="2" t="s">
        <v>2686</v>
      </c>
      <c r="B2604" s="2" t="s">
        <v>2592</v>
      </c>
      <c r="C2604" s="2" t="s">
        <v>71</v>
      </c>
      <c r="D2604" s="3">
        <v>3473</v>
      </c>
      <c r="E2604" s="4" t="s">
        <v>72</v>
      </c>
      <c r="F2604" s="5">
        <v>2992.17</v>
      </c>
      <c r="G2604" s="4" t="s">
        <v>73</v>
      </c>
      <c r="H2604" s="6">
        <f t="shared" si="40"/>
        <v>10391806.41</v>
      </c>
    </row>
    <row r="2605" spans="1:8" x14ac:dyDescent="0.2">
      <c r="A2605" s="2" t="s">
        <v>2687</v>
      </c>
      <c r="B2605" s="2" t="s">
        <v>2592</v>
      </c>
      <c r="C2605" s="2" t="s">
        <v>50</v>
      </c>
      <c r="D2605" s="3">
        <v>501</v>
      </c>
      <c r="E2605" s="4" t="s">
        <v>20</v>
      </c>
      <c r="F2605" s="5">
        <v>1.2</v>
      </c>
      <c r="G2605" s="4" t="s">
        <v>21</v>
      </c>
      <c r="H2605" s="6">
        <f t="shared" si="40"/>
        <v>601.19999999999993</v>
      </c>
    </row>
    <row r="2606" spans="1:8" x14ac:dyDescent="0.2">
      <c r="A2606" s="2" t="s">
        <v>2688</v>
      </c>
      <c r="B2606" s="2" t="s">
        <v>2592</v>
      </c>
      <c r="C2606" s="2" t="s">
        <v>86</v>
      </c>
      <c r="D2606" s="3">
        <v>4167</v>
      </c>
      <c r="E2606" s="4" t="s">
        <v>72</v>
      </c>
      <c r="F2606" s="5">
        <v>8296.26</v>
      </c>
      <c r="G2606" s="4" t="s">
        <v>73</v>
      </c>
      <c r="H2606" s="6">
        <f t="shared" si="40"/>
        <v>34570515.420000002</v>
      </c>
    </row>
    <row r="2607" spans="1:8" x14ac:dyDescent="0.2">
      <c r="A2607" s="2" t="s">
        <v>2689</v>
      </c>
      <c r="B2607" s="2" t="s">
        <v>2690</v>
      </c>
      <c r="C2607" s="2" t="s">
        <v>37</v>
      </c>
      <c r="D2607" s="3">
        <v>1031</v>
      </c>
      <c r="E2607" s="4" t="s">
        <v>38</v>
      </c>
      <c r="F2607" s="5">
        <v>3.35</v>
      </c>
      <c r="G2607" s="4" t="s">
        <v>39</v>
      </c>
      <c r="H2607" s="6">
        <f t="shared" si="40"/>
        <v>3453.85</v>
      </c>
    </row>
    <row r="2608" spans="1:8" x14ac:dyDescent="0.2">
      <c r="A2608" s="2" t="s">
        <v>2691</v>
      </c>
      <c r="B2608" s="2" t="s">
        <v>2690</v>
      </c>
      <c r="C2608" s="2" t="s">
        <v>46</v>
      </c>
      <c r="D2608" s="3">
        <v>52</v>
      </c>
      <c r="E2608" s="4" t="s">
        <v>20</v>
      </c>
      <c r="F2608" s="5">
        <v>2.91</v>
      </c>
      <c r="G2608" s="4" t="s">
        <v>21</v>
      </c>
      <c r="H2608" s="6">
        <f t="shared" si="40"/>
        <v>151.32</v>
      </c>
    </row>
    <row r="2609" spans="1:8" x14ac:dyDescent="0.2">
      <c r="A2609" s="2" t="s">
        <v>2692</v>
      </c>
      <c r="B2609" s="2" t="s">
        <v>2690</v>
      </c>
      <c r="C2609" s="2" t="s">
        <v>42</v>
      </c>
      <c r="D2609" s="3">
        <v>4774</v>
      </c>
      <c r="E2609" s="4" t="s">
        <v>24</v>
      </c>
      <c r="F2609" s="5">
        <v>5.2</v>
      </c>
      <c r="G2609" s="4" t="s">
        <v>25</v>
      </c>
      <c r="H2609" s="6">
        <f t="shared" si="40"/>
        <v>24824.799999999999</v>
      </c>
    </row>
    <row r="2610" spans="1:8" x14ac:dyDescent="0.2">
      <c r="A2610" s="2" t="s">
        <v>2693</v>
      </c>
      <c r="B2610" s="2" t="s">
        <v>2690</v>
      </c>
      <c r="C2610" s="2" t="s">
        <v>29</v>
      </c>
      <c r="D2610" s="3">
        <v>4888</v>
      </c>
      <c r="E2610" s="4" t="s">
        <v>30</v>
      </c>
      <c r="F2610" s="5">
        <v>1.28</v>
      </c>
      <c r="G2610" s="4" t="s">
        <v>31</v>
      </c>
      <c r="H2610" s="6">
        <f t="shared" si="40"/>
        <v>6256.64</v>
      </c>
    </row>
    <row r="2611" spans="1:8" x14ac:dyDescent="0.2">
      <c r="A2611" s="2" t="s">
        <v>2694</v>
      </c>
      <c r="B2611" s="2" t="s">
        <v>2690</v>
      </c>
      <c r="C2611" s="2" t="s">
        <v>71</v>
      </c>
      <c r="D2611" s="3">
        <v>2340</v>
      </c>
      <c r="E2611" s="4" t="s">
        <v>72</v>
      </c>
      <c r="F2611" s="5">
        <v>2800.15</v>
      </c>
      <c r="G2611" s="4" t="s">
        <v>73</v>
      </c>
      <c r="H2611" s="6">
        <f t="shared" si="40"/>
        <v>6552351</v>
      </c>
    </row>
    <row r="2612" spans="1:8" x14ac:dyDescent="0.2">
      <c r="A2612" s="2" t="s">
        <v>2695</v>
      </c>
      <c r="B2612" s="2" t="s">
        <v>2690</v>
      </c>
      <c r="C2612" s="2" t="s">
        <v>46</v>
      </c>
      <c r="D2612" s="3">
        <v>1156</v>
      </c>
      <c r="E2612" s="4" t="s">
        <v>20</v>
      </c>
      <c r="F2612" s="5">
        <v>3.43</v>
      </c>
      <c r="G2612" s="4" t="s">
        <v>21</v>
      </c>
      <c r="H2612" s="6">
        <f t="shared" si="40"/>
        <v>3965.0800000000004</v>
      </c>
    </row>
    <row r="2613" spans="1:8" x14ac:dyDescent="0.2">
      <c r="A2613" s="2" t="s">
        <v>2696</v>
      </c>
      <c r="B2613" s="2" t="s">
        <v>2690</v>
      </c>
      <c r="C2613" s="2" t="s">
        <v>78</v>
      </c>
      <c r="D2613" s="3">
        <v>2038</v>
      </c>
      <c r="E2613" s="4" t="s">
        <v>38</v>
      </c>
      <c r="F2613" s="5">
        <v>1.68</v>
      </c>
      <c r="G2613" s="4" t="s">
        <v>39</v>
      </c>
      <c r="H2613" s="6">
        <f t="shared" si="40"/>
        <v>3423.8399999999997</v>
      </c>
    </row>
    <row r="2614" spans="1:8" x14ac:dyDescent="0.2">
      <c r="A2614" s="2" t="s">
        <v>2697</v>
      </c>
      <c r="B2614" s="2" t="s">
        <v>2690</v>
      </c>
      <c r="C2614" s="2" t="s">
        <v>78</v>
      </c>
      <c r="D2614" s="3">
        <v>4780</v>
      </c>
      <c r="E2614" s="4" t="s">
        <v>38</v>
      </c>
      <c r="F2614" s="5">
        <v>1.83</v>
      </c>
      <c r="G2614" s="4" t="s">
        <v>39</v>
      </c>
      <c r="H2614" s="6">
        <f t="shared" si="40"/>
        <v>8747.4</v>
      </c>
    </row>
    <row r="2615" spans="1:8" x14ac:dyDescent="0.2">
      <c r="A2615" s="2" t="s">
        <v>2698</v>
      </c>
      <c r="B2615" s="2" t="s">
        <v>2690</v>
      </c>
      <c r="C2615" s="2" t="s">
        <v>19</v>
      </c>
      <c r="D2615" s="3">
        <v>3731</v>
      </c>
      <c r="E2615" s="4" t="s">
        <v>20</v>
      </c>
      <c r="F2615" s="5">
        <v>1.1599999999999999</v>
      </c>
      <c r="G2615" s="4" t="s">
        <v>21</v>
      </c>
      <c r="H2615" s="6">
        <f t="shared" si="40"/>
        <v>4327.96</v>
      </c>
    </row>
    <row r="2616" spans="1:8" x14ac:dyDescent="0.2">
      <c r="A2616" s="2" t="s">
        <v>2699</v>
      </c>
      <c r="B2616" s="2" t="s">
        <v>2690</v>
      </c>
      <c r="C2616" s="2" t="s">
        <v>52</v>
      </c>
      <c r="D2616" s="3">
        <v>3385</v>
      </c>
      <c r="E2616" s="4" t="s">
        <v>53</v>
      </c>
      <c r="F2616" s="5">
        <v>9.41</v>
      </c>
      <c r="G2616" s="4" t="s">
        <v>54</v>
      </c>
      <c r="H2616" s="6">
        <f t="shared" si="40"/>
        <v>31852.850000000002</v>
      </c>
    </row>
    <row r="2617" spans="1:8" x14ac:dyDescent="0.2">
      <c r="A2617" s="2" t="s">
        <v>2700</v>
      </c>
      <c r="B2617" s="2" t="s">
        <v>2690</v>
      </c>
      <c r="C2617" s="2" t="s">
        <v>37</v>
      </c>
      <c r="D2617" s="3">
        <v>3490</v>
      </c>
      <c r="E2617" s="4" t="s">
        <v>38</v>
      </c>
      <c r="F2617" s="5">
        <v>4.67</v>
      </c>
      <c r="G2617" s="4" t="s">
        <v>39</v>
      </c>
      <c r="H2617" s="6">
        <f t="shared" si="40"/>
        <v>16298.3</v>
      </c>
    </row>
    <row r="2618" spans="1:8" x14ac:dyDescent="0.2">
      <c r="A2618" s="2" t="s">
        <v>2701</v>
      </c>
      <c r="B2618" s="2" t="s">
        <v>2690</v>
      </c>
      <c r="C2618" s="2" t="s">
        <v>48</v>
      </c>
      <c r="D2618" s="3">
        <v>1769</v>
      </c>
      <c r="E2618" s="4" t="s">
        <v>24</v>
      </c>
      <c r="F2618" s="5">
        <v>0.12</v>
      </c>
      <c r="G2618" s="4" t="s">
        <v>25</v>
      </c>
      <c r="H2618" s="6">
        <f t="shared" si="40"/>
        <v>212.28</v>
      </c>
    </row>
    <row r="2619" spans="1:8" x14ac:dyDescent="0.2">
      <c r="A2619" s="2" t="s">
        <v>2702</v>
      </c>
      <c r="B2619" s="2" t="s">
        <v>2690</v>
      </c>
      <c r="C2619" s="2" t="s">
        <v>19</v>
      </c>
      <c r="D2619" s="3">
        <v>4321</v>
      </c>
      <c r="E2619" s="4" t="s">
        <v>20</v>
      </c>
      <c r="F2619" s="5">
        <v>1.34</v>
      </c>
      <c r="G2619" s="4" t="s">
        <v>21</v>
      </c>
      <c r="H2619" s="6">
        <f t="shared" si="40"/>
        <v>5790.14</v>
      </c>
    </row>
    <row r="2620" spans="1:8" x14ac:dyDescent="0.2">
      <c r="A2620" s="2" t="s">
        <v>2703</v>
      </c>
      <c r="B2620" s="2" t="s">
        <v>2690</v>
      </c>
      <c r="C2620" s="2" t="s">
        <v>29</v>
      </c>
      <c r="D2620" s="3">
        <v>4261</v>
      </c>
      <c r="E2620" s="4" t="s">
        <v>30</v>
      </c>
      <c r="F2620" s="5">
        <v>1.93</v>
      </c>
      <c r="G2620" s="4" t="s">
        <v>31</v>
      </c>
      <c r="H2620" s="6">
        <f t="shared" si="40"/>
        <v>8223.73</v>
      </c>
    </row>
    <row r="2621" spans="1:8" x14ac:dyDescent="0.2">
      <c r="A2621" s="2" t="s">
        <v>2704</v>
      </c>
      <c r="B2621" s="2" t="s">
        <v>2690</v>
      </c>
      <c r="C2621" s="2" t="s">
        <v>86</v>
      </c>
      <c r="D2621" s="3">
        <v>4796</v>
      </c>
      <c r="E2621" s="4" t="s">
        <v>72</v>
      </c>
      <c r="F2621" s="5">
        <v>8498.36</v>
      </c>
      <c r="G2621" s="4" t="s">
        <v>73</v>
      </c>
      <c r="H2621" s="6">
        <f t="shared" si="40"/>
        <v>40758134.560000002</v>
      </c>
    </row>
    <row r="2622" spans="1:8" x14ac:dyDescent="0.2">
      <c r="A2622" s="2" t="s">
        <v>2705</v>
      </c>
      <c r="B2622" s="2" t="s">
        <v>2690</v>
      </c>
      <c r="C2622" s="2" t="s">
        <v>52</v>
      </c>
      <c r="D2622" s="3">
        <v>3615</v>
      </c>
      <c r="E2622" s="4" t="s">
        <v>53</v>
      </c>
      <c r="F2622" s="5">
        <v>12.45</v>
      </c>
      <c r="G2622" s="4" t="s">
        <v>54</v>
      </c>
      <c r="H2622" s="6">
        <f t="shared" si="40"/>
        <v>45006.75</v>
      </c>
    </row>
    <row r="2623" spans="1:8" x14ac:dyDescent="0.2">
      <c r="A2623" s="2" t="s">
        <v>2706</v>
      </c>
      <c r="B2623" s="2" t="s">
        <v>2690</v>
      </c>
      <c r="C2623" s="2" t="s">
        <v>48</v>
      </c>
      <c r="D2623" s="3">
        <v>3425</v>
      </c>
      <c r="E2623" s="4" t="s">
        <v>24</v>
      </c>
      <c r="F2623" s="5">
        <v>0.17</v>
      </c>
      <c r="G2623" s="4" t="s">
        <v>25</v>
      </c>
      <c r="H2623" s="6">
        <f t="shared" si="40"/>
        <v>582.25</v>
      </c>
    </row>
    <row r="2624" spans="1:8" x14ac:dyDescent="0.2">
      <c r="A2624" s="2" t="s">
        <v>2707</v>
      </c>
      <c r="B2624" s="2" t="s">
        <v>2690</v>
      </c>
      <c r="C2624" s="2" t="s">
        <v>89</v>
      </c>
      <c r="D2624" s="3">
        <v>4153</v>
      </c>
      <c r="E2624" s="4" t="s">
        <v>30</v>
      </c>
      <c r="F2624" s="5">
        <v>1.95</v>
      </c>
      <c r="G2624" s="4" t="s">
        <v>31</v>
      </c>
      <c r="H2624" s="6">
        <f t="shared" si="40"/>
        <v>8098.3499999999995</v>
      </c>
    </row>
    <row r="2625" spans="1:8" x14ac:dyDescent="0.2">
      <c r="A2625" s="2" t="s">
        <v>2708</v>
      </c>
      <c r="B2625" s="2" t="s">
        <v>2690</v>
      </c>
      <c r="C2625" s="2" t="s">
        <v>23</v>
      </c>
      <c r="D2625" s="3">
        <v>1069</v>
      </c>
      <c r="E2625" s="4" t="s">
        <v>24</v>
      </c>
      <c r="F2625" s="5">
        <v>17.809999999999999</v>
      </c>
      <c r="G2625" s="4" t="s">
        <v>25</v>
      </c>
      <c r="H2625" s="6">
        <f t="shared" si="40"/>
        <v>19038.89</v>
      </c>
    </row>
    <row r="2626" spans="1:8" x14ac:dyDescent="0.2">
      <c r="A2626" s="2" t="s">
        <v>2709</v>
      </c>
      <c r="B2626" s="2" t="s">
        <v>2690</v>
      </c>
      <c r="C2626" s="2" t="s">
        <v>78</v>
      </c>
      <c r="D2626" s="3">
        <v>4344</v>
      </c>
      <c r="E2626" s="4" t="s">
        <v>38</v>
      </c>
      <c r="F2626" s="5">
        <v>1.7</v>
      </c>
      <c r="G2626" s="4" t="s">
        <v>39</v>
      </c>
      <c r="H2626" s="6">
        <f t="shared" ref="H2626:H2689" si="41">D2626*F2626</f>
        <v>7384.8</v>
      </c>
    </row>
    <row r="2627" spans="1:8" x14ac:dyDescent="0.2">
      <c r="A2627" s="2" t="s">
        <v>2710</v>
      </c>
      <c r="B2627" s="2" t="s">
        <v>2690</v>
      </c>
      <c r="C2627" s="2" t="s">
        <v>44</v>
      </c>
      <c r="D2627" s="3">
        <v>3740</v>
      </c>
      <c r="E2627" s="4" t="s">
        <v>24</v>
      </c>
      <c r="F2627" s="5">
        <v>1.23</v>
      </c>
      <c r="G2627" s="4" t="s">
        <v>25</v>
      </c>
      <c r="H2627" s="6">
        <f t="shared" si="41"/>
        <v>4600.2</v>
      </c>
    </row>
    <row r="2628" spans="1:8" x14ac:dyDescent="0.2">
      <c r="A2628" s="2" t="s">
        <v>2711</v>
      </c>
      <c r="B2628" s="2" t="s">
        <v>2690</v>
      </c>
      <c r="C2628" s="2" t="s">
        <v>118</v>
      </c>
      <c r="D2628" s="3">
        <v>4589</v>
      </c>
      <c r="E2628" s="4" t="s">
        <v>24</v>
      </c>
      <c r="F2628" s="5">
        <v>0.66</v>
      </c>
      <c r="G2628" s="4" t="s">
        <v>25</v>
      </c>
      <c r="H2628" s="6">
        <f t="shared" si="41"/>
        <v>3028.7400000000002</v>
      </c>
    </row>
    <row r="2629" spans="1:8" x14ac:dyDescent="0.2">
      <c r="A2629" s="2" t="s">
        <v>2712</v>
      </c>
      <c r="B2629" s="2" t="s">
        <v>2690</v>
      </c>
      <c r="C2629" s="2" t="s">
        <v>50</v>
      </c>
      <c r="D2629" s="3">
        <v>4938</v>
      </c>
      <c r="E2629" s="4" t="s">
        <v>20</v>
      </c>
      <c r="F2629" s="5">
        <v>1.21</v>
      </c>
      <c r="G2629" s="4" t="s">
        <v>21</v>
      </c>
      <c r="H2629" s="6">
        <f t="shared" si="41"/>
        <v>5974.98</v>
      </c>
    </row>
    <row r="2630" spans="1:8" x14ac:dyDescent="0.2">
      <c r="A2630" s="2" t="s">
        <v>2713</v>
      </c>
      <c r="B2630" s="2" t="s">
        <v>2690</v>
      </c>
      <c r="C2630" s="2" t="s">
        <v>50</v>
      </c>
      <c r="D2630" s="3">
        <v>1000</v>
      </c>
      <c r="E2630" s="4" t="s">
        <v>20</v>
      </c>
      <c r="F2630" s="5">
        <v>0.92</v>
      </c>
      <c r="G2630" s="4" t="s">
        <v>21</v>
      </c>
      <c r="H2630" s="6">
        <f t="shared" si="41"/>
        <v>920</v>
      </c>
    </row>
    <row r="2631" spans="1:8" x14ac:dyDescent="0.2">
      <c r="A2631" s="2" t="s">
        <v>2714</v>
      </c>
      <c r="B2631" s="2" t="s">
        <v>2690</v>
      </c>
      <c r="C2631" s="2" t="s">
        <v>71</v>
      </c>
      <c r="D2631" s="3">
        <v>339</v>
      </c>
      <c r="E2631" s="4" t="s">
        <v>72</v>
      </c>
      <c r="F2631" s="5">
        <v>2713.67</v>
      </c>
      <c r="G2631" s="4" t="s">
        <v>73</v>
      </c>
      <c r="H2631" s="6">
        <f t="shared" si="41"/>
        <v>919934.13</v>
      </c>
    </row>
    <row r="2632" spans="1:8" x14ac:dyDescent="0.2">
      <c r="A2632" s="2" t="s">
        <v>2715</v>
      </c>
      <c r="B2632" s="2" t="s">
        <v>2690</v>
      </c>
      <c r="C2632" s="2" t="s">
        <v>50</v>
      </c>
      <c r="D2632" s="3">
        <v>3053</v>
      </c>
      <c r="E2632" s="4" t="s">
        <v>20</v>
      </c>
      <c r="F2632" s="5">
        <v>0.88</v>
      </c>
      <c r="G2632" s="4" t="s">
        <v>21</v>
      </c>
      <c r="H2632" s="6">
        <f t="shared" si="41"/>
        <v>2686.64</v>
      </c>
    </row>
    <row r="2633" spans="1:8" x14ac:dyDescent="0.2">
      <c r="A2633" s="2" t="s">
        <v>2716</v>
      </c>
      <c r="B2633" s="2" t="s">
        <v>2690</v>
      </c>
      <c r="C2633" s="2" t="s">
        <v>19</v>
      </c>
      <c r="D2633" s="3">
        <v>2494</v>
      </c>
      <c r="E2633" s="4" t="s">
        <v>20</v>
      </c>
      <c r="F2633" s="5">
        <v>1.28</v>
      </c>
      <c r="G2633" s="4" t="s">
        <v>21</v>
      </c>
      <c r="H2633" s="6">
        <f t="shared" si="41"/>
        <v>3192.32</v>
      </c>
    </row>
    <row r="2634" spans="1:8" x14ac:dyDescent="0.2">
      <c r="A2634" s="2" t="s">
        <v>2717</v>
      </c>
      <c r="B2634" s="2" t="s">
        <v>2690</v>
      </c>
      <c r="C2634" s="2" t="s">
        <v>33</v>
      </c>
      <c r="D2634" s="3">
        <v>1180</v>
      </c>
      <c r="E2634" s="4" t="s">
        <v>34</v>
      </c>
      <c r="F2634" s="5">
        <v>3.86</v>
      </c>
      <c r="G2634" s="4" t="s">
        <v>35</v>
      </c>
      <c r="H2634" s="6">
        <f t="shared" si="41"/>
        <v>4554.8</v>
      </c>
    </row>
    <row r="2635" spans="1:8" x14ac:dyDescent="0.2">
      <c r="A2635" s="2" t="s">
        <v>2718</v>
      </c>
      <c r="B2635" s="2" t="s">
        <v>2690</v>
      </c>
      <c r="C2635" s="2" t="s">
        <v>46</v>
      </c>
      <c r="D2635" s="3">
        <v>3465</v>
      </c>
      <c r="E2635" s="4" t="s">
        <v>20</v>
      </c>
      <c r="F2635" s="5">
        <v>2.1</v>
      </c>
      <c r="G2635" s="4" t="s">
        <v>21</v>
      </c>
      <c r="H2635" s="6">
        <f t="shared" si="41"/>
        <v>7276.5</v>
      </c>
    </row>
    <row r="2636" spans="1:8" x14ac:dyDescent="0.2">
      <c r="A2636" s="2" t="s">
        <v>2719</v>
      </c>
      <c r="B2636" s="2" t="s">
        <v>2690</v>
      </c>
      <c r="C2636" s="2" t="s">
        <v>71</v>
      </c>
      <c r="D2636" s="3">
        <v>2332</v>
      </c>
      <c r="E2636" s="4" t="s">
        <v>72</v>
      </c>
      <c r="F2636" s="5">
        <v>2529.35</v>
      </c>
      <c r="G2636" s="4" t="s">
        <v>73</v>
      </c>
      <c r="H2636" s="6">
        <f t="shared" si="41"/>
        <v>5898444.2000000002</v>
      </c>
    </row>
    <row r="2637" spans="1:8" x14ac:dyDescent="0.2">
      <c r="A2637" s="2" t="s">
        <v>2720</v>
      </c>
      <c r="B2637" s="2" t="s">
        <v>2690</v>
      </c>
      <c r="C2637" s="2" t="s">
        <v>48</v>
      </c>
      <c r="D2637" s="3">
        <v>27</v>
      </c>
      <c r="E2637" s="4" t="s">
        <v>24</v>
      </c>
      <c r="F2637" s="5">
        <v>7.0000000000000007E-2</v>
      </c>
      <c r="G2637" s="4" t="s">
        <v>25</v>
      </c>
      <c r="H2637" s="6">
        <f t="shared" si="41"/>
        <v>1.8900000000000001</v>
      </c>
    </row>
    <row r="2638" spans="1:8" x14ac:dyDescent="0.2">
      <c r="A2638" s="2" t="s">
        <v>2721</v>
      </c>
      <c r="B2638" s="2" t="s">
        <v>2690</v>
      </c>
      <c r="C2638" s="2" t="s">
        <v>19</v>
      </c>
      <c r="D2638" s="3">
        <v>563</v>
      </c>
      <c r="E2638" s="4" t="s">
        <v>20</v>
      </c>
      <c r="F2638" s="5">
        <v>1.62</v>
      </c>
      <c r="G2638" s="4" t="s">
        <v>21</v>
      </c>
      <c r="H2638" s="6">
        <f t="shared" si="41"/>
        <v>912.06000000000006</v>
      </c>
    </row>
    <row r="2639" spans="1:8" x14ac:dyDescent="0.2">
      <c r="A2639" s="2" t="s">
        <v>2722</v>
      </c>
      <c r="B2639" s="2" t="s">
        <v>2690</v>
      </c>
      <c r="C2639" s="2" t="s">
        <v>52</v>
      </c>
      <c r="D2639" s="3">
        <v>3951</v>
      </c>
      <c r="E2639" s="4" t="s">
        <v>53</v>
      </c>
      <c r="F2639" s="5">
        <v>11.87</v>
      </c>
      <c r="G2639" s="4" t="s">
        <v>54</v>
      </c>
      <c r="H2639" s="6">
        <f t="shared" si="41"/>
        <v>46898.369999999995</v>
      </c>
    </row>
    <row r="2640" spans="1:8" x14ac:dyDescent="0.2">
      <c r="A2640" s="2" t="s">
        <v>2723</v>
      </c>
      <c r="B2640" s="2" t="s">
        <v>2690</v>
      </c>
      <c r="C2640" s="2" t="s">
        <v>46</v>
      </c>
      <c r="D2640" s="3">
        <v>3715</v>
      </c>
      <c r="E2640" s="4" t="s">
        <v>20</v>
      </c>
      <c r="F2640" s="5">
        <v>3.8</v>
      </c>
      <c r="G2640" s="4" t="s">
        <v>21</v>
      </c>
      <c r="H2640" s="6">
        <f t="shared" si="41"/>
        <v>14117</v>
      </c>
    </row>
    <row r="2641" spans="1:8" x14ac:dyDescent="0.2">
      <c r="A2641" s="2" t="s">
        <v>2724</v>
      </c>
      <c r="B2641" s="2" t="s">
        <v>2690</v>
      </c>
      <c r="C2641" s="2" t="s">
        <v>67</v>
      </c>
      <c r="D2641" s="3">
        <v>3903</v>
      </c>
      <c r="E2641" s="4" t="s">
        <v>24</v>
      </c>
      <c r="F2641" s="5">
        <v>0.55000000000000004</v>
      </c>
      <c r="G2641" s="4" t="s">
        <v>25</v>
      </c>
      <c r="H2641" s="6">
        <f t="shared" si="41"/>
        <v>2146.65</v>
      </c>
    </row>
    <row r="2642" spans="1:8" x14ac:dyDescent="0.2">
      <c r="A2642" s="2" t="s">
        <v>2725</v>
      </c>
      <c r="B2642" s="2" t="s">
        <v>2690</v>
      </c>
      <c r="C2642" s="2" t="s">
        <v>147</v>
      </c>
      <c r="D2642" s="3">
        <v>1097</v>
      </c>
      <c r="E2642" s="4" t="s">
        <v>53</v>
      </c>
      <c r="F2642" s="5">
        <v>14.1</v>
      </c>
      <c r="G2642" s="4" t="s">
        <v>54</v>
      </c>
      <c r="H2642" s="6">
        <f t="shared" si="41"/>
        <v>15467.699999999999</v>
      </c>
    </row>
    <row r="2643" spans="1:8" x14ac:dyDescent="0.2">
      <c r="A2643" s="2" t="s">
        <v>2726</v>
      </c>
      <c r="B2643" s="2" t="s">
        <v>2690</v>
      </c>
      <c r="C2643" s="2" t="s">
        <v>78</v>
      </c>
      <c r="D2643" s="3">
        <v>3785</v>
      </c>
      <c r="E2643" s="4" t="s">
        <v>38</v>
      </c>
      <c r="F2643" s="5">
        <v>2.79</v>
      </c>
      <c r="G2643" s="4" t="s">
        <v>39</v>
      </c>
      <c r="H2643" s="6">
        <f t="shared" si="41"/>
        <v>10560.15</v>
      </c>
    </row>
    <row r="2644" spans="1:8" x14ac:dyDescent="0.2">
      <c r="A2644" s="2" t="s">
        <v>2727</v>
      </c>
      <c r="B2644" s="2" t="s">
        <v>2690</v>
      </c>
      <c r="C2644" s="2" t="s">
        <v>23</v>
      </c>
      <c r="D2644" s="3">
        <v>1230</v>
      </c>
      <c r="E2644" s="4" t="s">
        <v>24</v>
      </c>
      <c r="F2644" s="5">
        <v>17.2</v>
      </c>
      <c r="G2644" s="4" t="s">
        <v>25</v>
      </c>
      <c r="H2644" s="6">
        <f t="shared" si="41"/>
        <v>21156</v>
      </c>
    </row>
    <row r="2645" spans="1:8" x14ac:dyDescent="0.2">
      <c r="A2645" s="2" t="s">
        <v>2728</v>
      </c>
      <c r="B2645" s="2" t="s">
        <v>2690</v>
      </c>
      <c r="C2645" s="2" t="s">
        <v>57</v>
      </c>
      <c r="D2645" s="3">
        <v>741</v>
      </c>
      <c r="E2645" s="4" t="s">
        <v>20</v>
      </c>
      <c r="F2645" s="5">
        <v>0.92</v>
      </c>
      <c r="G2645" s="4" t="s">
        <v>21</v>
      </c>
      <c r="H2645" s="6">
        <f t="shared" si="41"/>
        <v>681.72</v>
      </c>
    </row>
    <row r="2646" spans="1:8" x14ac:dyDescent="0.2">
      <c r="A2646" s="2" t="s">
        <v>2729</v>
      </c>
      <c r="B2646" s="2" t="s">
        <v>2690</v>
      </c>
      <c r="C2646" s="2" t="s">
        <v>147</v>
      </c>
      <c r="D2646" s="3">
        <v>3365</v>
      </c>
      <c r="E2646" s="4" t="s">
        <v>53</v>
      </c>
      <c r="F2646" s="5">
        <v>11.1</v>
      </c>
      <c r="G2646" s="4" t="s">
        <v>54</v>
      </c>
      <c r="H2646" s="6">
        <f t="shared" si="41"/>
        <v>37351.5</v>
      </c>
    </row>
    <row r="2647" spans="1:8" x14ac:dyDescent="0.2">
      <c r="A2647" s="2" t="s">
        <v>2730</v>
      </c>
      <c r="B2647" s="2" t="s">
        <v>2690</v>
      </c>
      <c r="C2647" s="2" t="s">
        <v>67</v>
      </c>
      <c r="D2647" s="3">
        <v>2787</v>
      </c>
      <c r="E2647" s="4" t="s">
        <v>24</v>
      </c>
      <c r="F2647" s="5">
        <v>0.46</v>
      </c>
      <c r="G2647" s="4" t="s">
        <v>25</v>
      </c>
      <c r="H2647" s="6">
        <f t="shared" si="41"/>
        <v>1282.02</v>
      </c>
    </row>
    <row r="2648" spans="1:8" x14ac:dyDescent="0.2">
      <c r="A2648" s="2" t="s">
        <v>2731</v>
      </c>
      <c r="B2648" s="2" t="s">
        <v>2690</v>
      </c>
      <c r="C2648" s="2" t="s">
        <v>23</v>
      </c>
      <c r="D2648" s="3">
        <v>2282</v>
      </c>
      <c r="E2648" s="4" t="s">
        <v>24</v>
      </c>
      <c r="F2648" s="5">
        <v>15.88</v>
      </c>
      <c r="G2648" s="4" t="s">
        <v>25</v>
      </c>
      <c r="H2648" s="6">
        <f t="shared" si="41"/>
        <v>36238.160000000003</v>
      </c>
    </row>
    <row r="2649" spans="1:8" x14ac:dyDescent="0.2">
      <c r="A2649" s="2" t="s">
        <v>2732</v>
      </c>
      <c r="B2649" s="2" t="s">
        <v>2690</v>
      </c>
      <c r="C2649" s="2" t="s">
        <v>118</v>
      </c>
      <c r="D2649" s="3">
        <v>213</v>
      </c>
      <c r="E2649" s="4" t="s">
        <v>24</v>
      </c>
      <c r="F2649" s="5">
        <v>0.8</v>
      </c>
      <c r="G2649" s="4" t="s">
        <v>25</v>
      </c>
      <c r="H2649" s="6">
        <f t="shared" si="41"/>
        <v>170.4</v>
      </c>
    </row>
    <row r="2650" spans="1:8" x14ac:dyDescent="0.2">
      <c r="A2650" s="2" t="s">
        <v>2733</v>
      </c>
      <c r="B2650" s="2" t="s">
        <v>2690</v>
      </c>
      <c r="C2650" s="2" t="s">
        <v>71</v>
      </c>
      <c r="D2650" s="3">
        <v>4606</v>
      </c>
      <c r="E2650" s="4" t="s">
        <v>72</v>
      </c>
      <c r="F2650" s="5">
        <v>2787.1</v>
      </c>
      <c r="G2650" s="4" t="s">
        <v>73</v>
      </c>
      <c r="H2650" s="6">
        <f t="shared" si="41"/>
        <v>12837382.6</v>
      </c>
    </row>
    <row r="2651" spans="1:8" x14ac:dyDescent="0.2">
      <c r="A2651" s="2" t="s">
        <v>2734</v>
      </c>
      <c r="B2651" s="2" t="s">
        <v>2690</v>
      </c>
      <c r="C2651" s="2" t="s">
        <v>29</v>
      </c>
      <c r="D2651" s="3">
        <v>707</v>
      </c>
      <c r="E2651" s="4" t="s">
        <v>30</v>
      </c>
      <c r="F2651" s="5">
        <v>1.23</v>
      </c>
      <c r="G2651" s="4" t="s">
        <v>31</v>
      </c>
      <c r="H2651" s="6">
        <f t="shared" si="41"/>
        <v>869.61</v>
      </c>
    </row>
    <row r="2652" spans="1:8" x14ac:dyDescent="0.2">
      <c r="A2652" s="2" t="s">
        <v>2735</v>
      </c>
      <c r="B2652" s="2" t="s">
        <v>2690</v>
      </c>
      <c r="C2652" s="2" t="s">
        <v>147</v>
      </c>
      <c r="D2652" s="3">
        <v>4448</v>
      </c>
      <c r="E2652" s="4" t="s">
        <v>53</v>
      </c>
      <c r="F2652" s="5">
        <v>12.61</v>
      </c>
      <c r="G2652" s="4" t="s">
        <v>54</v>
      </c>
      <c r="H2652" s="6">
        <f t="shared" si="41"/>
        <v>56089.279999999999</v>
      </c>
    </row>
    <row r="2653" spans="1:8" x14ac:dyDescent="0.2">
      <c r="A2653" s="2" t="s">
        <v>2736</v>
      </c>
      <c r="B2653" s="2" t="s">
        <v>2690</v>
      </c>
      <c r="C2653" s="2" t="s">
        <v>37</v>
      </c>
      <c r="D2653" s="3">
        <v>4681</v>
      </c>
      <c r="E2653" s="4" t="s">
        <v>38</v>
      </c>
      <c r="F2653" s="5">
        <v>3.57</v>
      </c>
      <c r="G2653" s="4" t="s">
        <v>39</v>
      </c>
      <c r="H2653" s="6">
        <f t="shared" si="41"/>
        <v>16711.169999999998</v>
      </c>
    </row>
    <row r="2654" spans="1:8" x14ac:dyDescent="0.2">
      <c r="A2654" s="2" t="s">
        <v>2737</v>
      </c>
      <c r="B2654" s="2" t="s">
        <v>2690</v>
      </c>
      <c r="C2654" s="2" t="s">
        <v>48</v>
      </c>
      <c r="D2654" s="3">
        <v>4127</v>
      </c>
      <c r="E2654" s="4" t="s">
        <v>24</v>
      </c>
      <c r="F2654" s="5">
        <v>0.18</v>
      </c>
      <c r="G2654" s="4" t="s">
        <v>25</v>
      </c>
      <c r="H2654" s="6">
        <f t="shared" si="41"/>
        <v>742.86</v>
      </c>
    </row>
    <row r="2655" spans="1:8" x14ac:dyDescent="0.2">
      <c r="A2655" s="2" t="s">
        <v>2738</v>
      </c>
      <c r="B2655" s="2" t="s">
        <v>2690</v>
      </c>
      <c r="C2655" s="2" t="s">
        <v>50</v>
      </c>
      <c r="D2655" s="3">
        <v>4366</v>
      </c>
      <c r="E2655" s="4" t="s">
        <v>20</v>
      </c>
      <c r="F2655" s="5">
        <v>0.81</v>
      </c>
      <c r="G2655" s="4" t="s">
        <v>21</v>
      </c>
      <c r="H2655" s="6">
        <f t="shared" si="41"/>
        <v>3536.46</v>
      </c>
    </row>
    <row r="2656" spans="1:8" x14ac:dyDescent="0.2">
      <c r="A2656" s="2" t="s">
        <v>2739</v>
      </c>
      <c r="B2656" s="2" t="s">
        <v>2690</v>
      </c>
      <c r="C2656" s="2" t="s">
        <v>33</v>
      </c>
      <c r="D2656" s="3">
        <v>2262</v>
      </c>
      <c r="E2656" s="4" t="s">
        <v>34</v>
      </c>
      <c r="F2656" s="5">
        <v>5.47</v>
      </c>
      <c r="G2656" s="4" t="s">
        <v>35</v>
      </c>
      <c r="H2656" s="6">
        <f t="shared" si="41"/>
        <v>12373.14</v>
      </c>
    </row>
    <row r="2657" spans="1:8" x14ac:dyDescent="0.2">
      <c r="A2657" s="2" t="s">
        <v>2740</v>
      </c>
      <c r="B2657" s="2" t="s">
        <v>2690</v>
      </c>
      <c r="C2657" s="2" t="s">
        <v>42</v>
      </c>
      <c r="D2657" s="3">
        <v>4757</v>
      </c>
      <c r="E2657" s="4" t="s">
        <v>24</v>
      </c>
      <c r="F2657" s="5">
        <v>4.83</v>
      </c>
      <c r="G2657" s="4" t="s">
        <v>25</v>
      </c>
      <c r="H2657" s="6">
        <f t="shared" si="41"/>
        <v>22976.31</v>
      </c>
    </row>
    <row r="2658" spans="1:8" x14ac:dyDescent="0.2">
      <c r="A2658" s="2" t="s">
        <v>2741</v>
      </c>
      <c r="B2658" s="2" t="s">
        <v>2690</v>
      </c>
      <c r="C2658" s="2" t="s">
        <v>29</v>
      </c>
      <c r="D2658" s="3">
        <v>4981</v>
      </c>
      <c r="E2658" s="4" t="s">
        <v>30</v>
      </c>
      <c r="F2658" s="5">
        <v>1.38</v>
      </c>
      <c r="G2658" s="4" t="s">
        <v>31</v>
      </c>
      <c r="H2658" s="6">
        <f t="shared" si="41"/>
        <v>6873.78</v>
      </c>
    </row>
    <row r="2659" spans="1:8" x14ac:dyDescent="0.2">
      <c r="A2659" s="2" t="s">
        <v>2742</v>
      </c>
      <c r="B2659" s="2" t="s">
        <v>2690</v>
      </c>
      <c r="C2659" s="2" t="s">
        <v>46</v>
      </c>
      <c r="D2659" s="3">
        <v>378</v>
      </c>
      <c r="E2659" s="4" t="s">
        <v>20</v>
      </c>
      <c r="F2659" s="5">
        <v>2.98</v>
      </c>
      <c r="G2659" s="4" t="s">
        <v>21</v>
      </c>
      <c r="H2659" s="6">
        <f t="shared" si="41"/>
        <v>1126.44</v>
      </c>
    </row>
    <row r="2660" spans="1:8" x14ac:dyDescent="0.2">
      <c r="A2660" s="2" t="s">
        <v>2743</v>
      </c>
      <c r="B2660" s="2" t="s">
        <v>2690</v>
      </c>
      <c r="C2660" s="2" t="s">
        <v>33</v>
      </c>
      <c r="D2660" s="3">
        <v>2794</v>
      </c>
      <c r="E2660" s="4" t="s">
        <v>34</v>
      </c>
      <c r="F2660" s="5">
        <v>4.59</v>
      </c>
      <c r="G2660" s="4" t="s">
        <v>35</v>
      </c>
      <c r="H2660" s="6">
        <f t="shared" si="41"/>
        <v>12824.46</v>
      </c>
    </row>
    <row r="2661" spans="1:8" x14ac:dyDescent="0.2">
      <c r="A2661" s="2" t="s">
        <v>2744</v>
      </c>
      <c r="B2661" s="2" t="s">
        <v>2690</v>
      </c>
      <c r="C2661" s="2" t="s">
        <v>52</v>
      </c>
      <c r="D2661" s="3">
        <v>207</v>
      </c>
      <c r="E2661" s="4" t="s">
        <v>53</v>
      </c>
      <c r="F2661" s="5">
        <v>13.3</v>
      </c>
      <c r="G2661" s="4" t="s">
        <v>54</v>
      </c>
      <c r="H2661" s="6">
        <f t="shared" si="41"/>
        <v>2753.1000000000004</v>
      </c>
    </row>
    <row r="2662" spans="1:8" x14ac:dyDescent="0.2">
      <c r="A2662" s="2" t="s">
        <v>2745</v>
      </c>
      <c r="B2662" s="2" t="s">
        <v>2690</v>
      </c>
      <c r="C2662" s="2" t="s">
        <v>57</v>
      </c>
      <c r="D2662" s="3">
        <v>3139</v>
      </c>
      <c r="E2662" s="4" t="s">
        <v>20</v>
      </c>
      <c r="F2662" s="5">
        <v>0.7</v>
      </c>
      <c r="G2662" s="4" t="s">
        <v>21</v>
      </c>
      <c r="H2662" s="6">
        <f t="shared" si="41"/>
        <v>2197.2999999999997</v>
      </c>
    </row>
    <row r="2663" spans="1:8" x14ac:dyDescent="0.2">
      <c r="A2663" s="2" t="s">
        <v>2746</v>
      </c>
      <c r="B2663" s="2" t="s">
        <v>2690</v>
      </c>
      <c r="C2663" s="2" t="s">
        <v>50</v>
      </c>
      <c r="D2663" s="3">
        <v>823</v>
      </c>
      <c r="E2663" s="4" t="s">
        <v>20</v>
      </c>
      <c r="F2663" s="5">
        <v>1.03</v>
      </c>
      <c r="G2663" s="4" t="s">
        <v>21</v>
      </c>
      <c r="H2663" s="6">
        <f t="shared" si="41"/>
        <v>847.69</v>
      </c>
    </row>
    <row r="2664" spans="1:8" x14ac:dyDescent="0.2">
      <c r="A2664" s="2" t="s">
        <v>2747</v>
      </c>
      <c r="B2664" s="2" t="s">
        <v>2690</v>
      </c>
      <c r="C2664" s="2" t="s">
        <v>71</v>
      </c>
      <c r="D2664" s="3">
        <v>1189</v>
      </c>
      <c r="E2664" s="4" t="s">
        <v>72</v>
      </c>
      <c r="F2664" s="5">
        <v>2509.6</v>
      </c>
      <c r="G2664" s="4" t="s">
        <v>73</v>
      </c>
      <c r="H2664" s="6">
        <f t="shared" si="41"/>
        <v>2983914.4</v>
      </c>
    </row>
    <row r="2665" spans="1:8" x14ac:dyDescent="0.2">
      <c r="A2665" s="2" t="s">
        <v>2748</v>
      </c>
      <c r="B2665" s="2" t="s">
        <v>2690</v>
      </c>
      <c r="C2665" s="2" t="s">
        <v>27</v>
      </c>
      <c r="D2665" s="3">
        <v>1273</v>
      </c>
      <c r="E2665" s="4" t="s">
        <v>20</v>
      </c>
      <c r="F2665" s="5">
        <v>1.57</v>
      </c>
      <c r="G2665" s="4" t="s">
        <v>21</v>
      </c>
      <c r="H2665" s="6">
        <f t="shared" si="41"/>
        <v>1998.6100000000001</v>
      </c>
    </row>
    <row r="2666" spans="1:8" x14ac:dyDescent="0.2">
      <c r="A2666" s="2" t="s">
        <v>2749</v>
      </c>
      <c r="B2666" s="2" t="s">
        <v>2690</v>
      </c>
      <c r="C2666" s="2" t="s">
        <v>52</v>
      </c>
      <c r="D2666" s="3">
        <v>1396</v>
      </c>
      <c r="E2666" s="4" t="s">
        <v>53</v>
      </c>
      <c r="F2666" s="5">
        <v>9.2899999999999991</v>
      </c>
      <c r="G2666" s="4" t="s">
        <v>54</v>
      </c>
      <c r="H2666" s="6">
        <f t="shared" si="41"/>
        <v>12968.839999999998</v>
      </c>
    </row>
    <row r="2667" spans="1:8" x14ac:dyDescent="0.2">
      <c r="A2667" s="2" t="s">
        <v>2750</v>
      </c>
      <c r="B2667" s="2" t="s">
        <v>2690</v>
      </c>
      <c r="C2667" s="2" t="s">
        <v>57</v>
      </c>
      <c r="D2667" s="3">
        <v>1496</v>
      </c>
      <c r="E2667" s="4" t="s">
        <v>20</v>
      </c>
      <c r="F2667" s="5">
        <v>0.61</v>
      </c>
      <c r="G2667" s="4" t="s">
        <v>21</v>
      </c>
      <c r="H2667" s="6">
        <f t="shared" si="41"/>
        <v>912.56</v>
      </c>
    </row>
    <row r="2668" spans="1:8" x14ac:dyDescent="0.2">
      <c r="A2668" s="2" t="s">
        <v>2751</v>
      </c>
      <c r="B2668" s="2" t="s">
        <v>2690</v>
      </c>
      <c r="C2668" s="2" t="s">
        <v>37</v>
      </c>
      <c r="D2668" s="3">
        <v>2451</v>
      </c>
      <c r="E2668" s="4" t="s">
        <v>38</v>
      </c>
      <c r="F2668" s="5">
        <v>3.17</v>
      </c>
      <c r="G2668" s="4" t="s">
        <v>39</v>
      </c>
      <c r="H2668" s="6">
        <f t="shared" si="41"/>
        <v>7769.67</v>
      </c>
    </row>
    <row r="2669" spans="1:8" x14ac:dyDescent="0.2">
      <c r="A2669" s="2" t="s">
        <v>2752</v>
      </c>
      <c r="B2669" s="2" t="s">
        <v>2690</v>
      </c>
      <c r="C2669" s="2" t="s">
        <v>57</v>
      </c>
      <c r="D2669" s="3">
        <v>1177</v>
      </c>
      <c r="E2669" s="4" t="s">
        <v>20</v>
      </c>
      <c r="F2669" s="5">
        <v>0.77</v>
      </c>
      <c r="G2669" s="4" t="s">
        <v>21</v>
      </c>
      <c r="H2669" s="6">
        <f t="shared" si="41"/>
        <v>906.29000000000008</v>
      </c>
    </row>
    <row r="2670" spans="1:8" x14ac:dyDescent="0.2">
      <c r="A2670" s="2" t="s">
        <v>2753</v>
      </c>
      <c r="B2670" s="2" t="s">
        <v>2690</v>
      </c>
      <c r="C2670" s="2" t="s">
        <v>57</v>
      </c>
      <c r="D2670" s="3">
        <v>2122</v>
      </c>
      <c r="E2670" s="4" t="s">
        <v>20</v>
      </c>
      <c r="F2670" s="5">
        <v>0.75</v>
      </c>
      <c r="G2670" s="4" t="s">
        <v>21</v>
      </c>
      <c r="H2670" s="6">
        <f t="shared" si="41"/>
        <v>1591.5</v>
      </c>
    </row>
    <row r="2671" spans="1:8" x14ac:dyDescent="0.2">
      <c r="A2671" s="2" t="s">
        <v>2754</v>
      </c>
      <c r="B2671" s="2" t="s">
        <v>2690</v>
      </c>
      <c r="C2671" s="2" t="s">
        <v>50</v>
      </c>
      <c r="D2671" s="3">
        <v>434</v>
      </c>
      <c r="E2671" s="4" t="s">
        <v>20</v>
      </c>
      <c r="F2671" s="5">
        <v>0.82</v>
      </c>
      <c r="G2671" s="4" t="s">
        <v>21</v>
      </c>
      <c r="H2671" s="6">
        <f t="shared" si="41"/>
        <v>355.88</v>
      </c>
    </row>
    <row r="2672" spans="1:8" x14ac:dyDescent="0.2">
      <c r="A2672" s="2" t="s">
        <v>2755</v>
      </c>
      <c r="B2672" s="2" t="s">
        <v>2690</v>
      </c>
      <c r="C2672" s="2" t="s">
        <v>147</v>
      </c>
      <c r="D2672" s="3">
        <v>4810</v>
      </c>
      <c r="E2672" s="4" t="s">
        <v>53</v>
      </c>
      <c r="F2672" s="5">
        <v>9.89</v>
      </c>
      <c r="G2672" s="4" t="s">
        <v>54</v>
      </c>
      <c r="H2672" s="6">
        <f t="shared" si="41"/>
        <v>47570.9</v>
      </c>
    </row>
    <row r="2673" spans="1:8" x14ac:dyDescent="0.2">
      <c r="A2673" s="2" t="s">
        <v>2756</v>
      </c>
      <c r="B2673" s="2" t="s">
        <v>2690</v>
      </c>
      <c r="C2673" s="2" t="s">
        <v>78</v>
      </c>
      <c r="D2673" s="3">
        <v>4142</v>
      </c>
      <c r="E2673" s="4" t="s">
        <v>38</v>
      </c>
      <c r="F2673" s="5">
        <v>2.15</v>
      </c>
      <c r="G2673" s="4" t="s">
        <v>39</v>
      </c>
      <c r="H2673" s="6">
        <f t="shared" si="41"/>
        <v>8905.2999999999993</v>
      </c>
    </row>
    <row r="2674" spans="1:8" x14ac:dyDescent="0.2">
      <c r="A2674" s="2" t="s">
        <v>2757</v>
      </c>
      <c r="B2674" s="2" t="s">
        <v>2690</v>
      </c>
      <c r="C2674" s="2" t="s">
        <v>50</v>
      </c>
      <c r="D2674" s="3">
        <v>2216</v>
      </c>
      <c r="E2674" s="4" t="s">
        <v>20</v>
      </c>
      <c r="F2674" s="5">
        <v>0.74</v>
      </c>
      <c r="G2674" s="4" t="s">
        <v>21</v>
      </c>
      <c r="H2674" s="6">
        <f t="shared" si="41"/>
        <v>1639.84</v>
      </c>
    </row>
    <row r="2675" spans="1:8" x14ac:dyDescent="0.2">
      <c r="A2675" s="2" t="s">
        <v>2758</v>
      </c>
      <c r="B2675" s="2" t="s">
        <v>2690</v>
      </c>
      <c r="C2675" s="2" t="s">
        <v>23</v>
      </c>
      <c r="D2675" s="3">
        <v>4541</v>
      </c>
      <c r="E2675" s="4" t="s">
        <v>24</v>
      </c>
      <c r="F2675" s="5">
        <v>14.44</v>
      </c>
      <c r="G2675" s="4" t="s">
        <v>25</v>
      </c>
      <c r="H2675" s="6">
        <f t="shared" si="41"/>
        <v>65572.039999999994</v>
      </c>
    </row>
    <row r="2676" spans="1:8" x14ac:dyDescent="0.2">
      <c r="A2676" s="2" t="s">
        <v>2759</v>
      </c>
      <c r="B2676" s="2" t="s">
        <v>2690</v>
      </c>
      <c r="C2676" s="2" t="s">
        <v>48</v>
      </c>
      <c r="D2676" s="3">
        <v>246</v>
      </c>
      <c r="E2676" s="4" t="s">
        <v>24</v>
      </c>
      <c r="F2676" s="5">
        <v>0.11</v>
      </c>
      <c r="G2676" s="4" t="s">
        <v>25</v>
      </c>
      <c r="H2676" s="6">
        <f t="shared" si="41"/>
        <v>27.06</v>
      </c>
    </row>
    <row r="2677" spans="1:8" x14ac:dyDescent="0.2">
      <c r="A2677" s="2" t="s">
        <v>2760</v>
      </c>
      <c r="B2677" s="2" t="s">
        <v>2690</v>
      </c>
      <c r="C2677" s="2" t="s">
        <v>42</v>
      </c>
      <c r="D2677" s="3">
        <v>162</v>
      </c>
      <c r="E2677" s="4" t="s">
        <v>24</v>
      </c>
      <c r="F2677" s="5">
        <v>4.3099999999999996</v>
      </c>
      <c r="G2677" s="4" t="s">
        <v>25</v>
      </c>
      <c r="H2677" s="6">
        <f t="shared" si="41"/>
        <v>698.21999999999991</v>
      </c>
    </row>
    <row r="2678" spans="1:8" x14ac:dyDescent="0.2">
      <c r="A2678" s="2" t="s">
        <v>2761</v>
      </c>
      <c r="B2678" s="2" t="s">
        <v>2690</v>
      </c>
      <c r="C2678" s="2" t="s">
        <v>46</v>
      </c>
      <c r="D2678" s="3">
        <v>841</v>
      </c>
      <c r="E2678" s="4" t="s">
        <v>20</v>
      </c>
      <c r="F2678" s="5">
        <v>2.4900000000000002</v>
      </c>
      <c r="G2678" s="4" t="s">
        <v>21</v>
      </c>
      <c r="H2678" s="6">
        <f t="shared" si="41"/>
        <v>2094.09</v>
      </c>
    </row>
    <row r="2679" spans="1:8" x14ac:dyDescent="0.2">
      <c r="A2679" s="2" t="s">
        <v>2762</v>
      </c>
      <c r="B2679" s="2" t="s">
        <v>2690</v>
      </c>
      <c r="C2679" s="2" t="s">
        <v>29</v>
      </c>
      <c r="D2679" s="3">
        <v>1038</v>
      </c>
      <c r="E2679" s="4" t="s">
        <v>30</v>
      </c>
      <c r="F2679" s="5">
        <v>1.37</v>
      </c>
      <c r="G2679" s="4" t="s">
        <v>31</v>
      </c>
      <c r="H2679" s="6">
        <f t="shared" si="41"/>
        <v>1422.0600000000002</v>
      </c>
    </row>
    <row r="2680" spans="1:8" x14ac:dyDescent="0.2">
      <c r="A2680" s="2" t="s">
        <v>2763</v>
      </c>
      <c r="B2680" s="2" t="s">
        <v>2690</v>
      </c>
      <c r="C2680" s="2" t="s">
        <v>52</v>
      </c>
      <c r="D2680" s="3">
        <v>3663</v>
      </c>
      <c r="E2680" s="4" t="s">
        <v>53</v>
      </c>
      <c r="F2680" s="5">
        <v>9.42</v>
      </c>
      <c r="G2680" s="4" t="s">
        <v>54</v>
      </c>
      <c r="H2680" s="6">
        <f t="shared" si="41"/>
        <v>34505.46</v>
      </c>
    </row>
    <row r="2681" spans="1:8" x14ac:dyDescent="0.2">
      <c r="A2681" s="2" t="s">
        <v>2764</v>
      </c>
      <c r="B2681" s="2" t="s">
        <v>2690</v>
      </c>
      <c r="C2681" s="2" t="s">
        <v>78</v>
      </c>
      <c r="D2681" s="3">
        <v>1676</v>
      </c>
      <c r="E2681" s="4" t="s">
        <v>38</v>
      </c>
      <c r="F2681" s="5">
        <v>2.83</v>
      </c>
      <c r="G2681" s="4" t="s">
        <v>39</v>
      </c>
      <c r="H2681" s="6">
        <f t="shared" si="41"/>
        <v>4743.08</v>
      </c>
    </row>
    <row r="2682" spans="1:8" x14ac:dyDescent="0.2">
      <c r="A2682" s="2" t="s">
        <v>2765</v>
      </c>
      <c r="B2682" s="2" t="s">
        <v>2690</v>
      </c>
      <c r="C2682" s="2" t="s">
        <v>89</v>
      </c>
      <c r="D2682" s="3">
        <v>3068</v>
      </c>
      <c r="E2682" s="4" t="s">
        <v>30</v>
      </c>
      <c r="F2682" s="5">
        <v>2.4500000000000002</v>
      </c>
      <c r="G2682" s="4" t="s">
        <v>31</v>
      </c>
      <c r="H2682" s="6">
        <f t="shared" si="41"/>
        <v>7516.6</v>
      </c>
    </row>
    <row r="2683" spans="1:8" x14ac:dyDescent="0.2">
      <c r="A2683" s="2" t="s">
        <v>2766</v>
      </c>
      <c r="B2683" s="2" t="s">
        <v>2690</v>
      </c>
      <c r="C2683" s="2" t="s">
        <v>118</v>
      </c>
      <c r="D2683" s="3">
        <v>2018</v>
      </c>
      <c r="E2683" s="4" t="s">
        <v>24</v>
      </c>
      <c r="F2683" s="5">
        <v>0.78</v>
      </c>
      <c r="G2683" s="4" t="s">
        <v>25</v>
      </c>
      <c r="H2683" s="6">
        <f t="shared" si="41"/>
        <v>1574.04</v>
      </c>
    </row>
    <row r="2684" spans="1:8" x14ac:dyDescent="0.2">
      <c r="A2684" s="2" t="s">
        <v>2767</v>
      </c>
      <c r="B2684" s="2" t="s">
        <v>2690</v>
      </c>
      <c r="C2684" s="2" t="s">
        <v>52</v>
      </c>
      <c r="D2684" s="3">
        <v>4557</v>
      </c>
      <c r="E2684" s="4" t="s">
        <v>53</v>
      </c>
      <c r="F2684" s="5">
        <v>11.26</v>
      </c>
      <c r="G2684" s="4" t="s">
        <v>54</v>
      </c>
      <c r="H2684" s="6">
        <f t="shared" si="41"/>
        <v>51311.82</v>
      </c>
    </row>
    <row r="2685" spans="1:8" x14ac:dyDescent="0.2">
      <c r="A2685" s="2" t="s">
        <v>2768</v>
      </c>
      <c r="B2685" s="2" t="s">
        <v>2690</v>
      </c>
      <c r="C2685" s="2" t="s">
        <v>33</v>
      </c>
      <c r="D2685" s="3">
        <v>3816</v>
      </c>
      <c r="E2685" s="4" t="s">
        <v>34</v>
      </c>
      <c r="F2685" s="5">
        <v>5.9</v>
      </c>
      <c r="G2685" s="4" t="s">
        <v>35</v>
      </c>
      <c r="H2685" s="6">
        <f t="shared" si="41"/>
        <v>22514.400000000001</v>
      </c>
    </row>
    <row r="2686" spans="1:8" x14ac:dyDescent="0.2">
      <c r="A2686" s="2" t="s">
        <v>2769</v>
      </c>
      <c r="B2686" s="2" t="s">
        <v>2690</v>
      </c>
      <c r="C2686" s="2" t="s">
        <v>147</v>
      </c>
      <c r="D2686" s="3">
        <v>2379</v>
      </c>
      <c r="E2686" s="4" t="s">
        <v>53</v>
      </c>
      <c r="F2686" s="5">
        <v>13.22</v>
      </c>
      <c r="G2686" s="4" t="s">
        <v>54</v>
      </c>
      <c r="H2686" s="6">
        <f t="shared" si="41"/>
        <v>31450.38</v>
      </c>
    </row>
    <row r="2687" spans="1:8" x14ac:dyDescent="0.2">
      <c r="A2687" s="2" t="s">
        <v>2770</v>
      </c>
      <c r="B2687" s="2" t="s">
        <v>2690</v>
      </c>
      <c r="C2687" s="2" t="s">
        <v>118</v>
      </c>
      <c r="D2687" s="3">
        <v>14</v>
      </c>
      <c r="E2687" s="4" t="s">
        <v>24</v>
      </c>
      <c r="F2687" s="5">
        <v>0.44</v>
      </c>
      <c r="G2687" s="4" t="s">
        <v>25</v>
      </c>
      <c r="H2687" s="6">
        <f t="shared" si="41"/>
        <v>6.16</v>
      </c>
    </row>
    <row r="2688" spans="1:8" x14ac:dyDescent="0.2">
      <c r="A2688" s="2" t="s">
        <v>2771</v>
      </c>
      <c r="B2688" s="2" t="s">
        <v>2690</v>
      </c>
      <c r="C2688" s="2" t="s">
        <v>48</v>
      </c>
      <c r="D2688" s="3">
        <v>2248</v>
      </c>
      <c r="E2688" s="4" t="s">
        <v>24</v>
      </c>
      <c r="F2688" s="5">
        <v>0.14000000000000001</v>
      </c>
      <c r="G2688" s="4" t="s">
        <v>25</v>
      </c>
      <c r="H2688" s="6">
        <f t="shared" si="41"/>
        <v>314.72000000000003</v>
      </c>
    </row>
    <row r="2689" spans="1:8" x14ac:dyDescent="0.2">
      <c r="A2689" s="2" t="s">
        <v>2772</v>
      </c>
      <c r="B2689" s="2" t="s">
        <v>2690</v>
      </c>
      <c r="C2689" s="2" t="s">
        <v>67</v>
      </c>
      <c r="D2689" s="3">
        <v>2888</v>
      </c>
      <c r="E2689" s="4" t="s">
        <v>24</v>
      </c>
      <c r="F2689" s="5">
        <v>0.55000000000000004</v>
      </c>
      <c r="G2689" s="4" t="s">
        <v>25</v>
      </c>
      <c r="H2689" s="6">
        <f t="shared" si="41"/>
        <v>1588.4</v>
      </c>
    </row>
    <row r="2690" spans="1:8" x14ac:dyDescent="0.2">
      <c r="A2690" s="2" t="s">
        <v>2773</v>
      </c>
      <c r="B2690" s="2" t="s">
        <v>2690</v>
      </c>
      <c r="C2690" s="2" t="s">
        <v>44</v>
      </c>
      <c r="D2690" s="3">
        <v>4803</v>
      </c>
      <c r="E2690" s="4" t="s">
        <v>24</v>
      </c>
      <c r="F2690" s="5">
        <v>1.49</v>
      </c>
      <c r="G2690" s="4" t="s">
        <v>25</v>
      </c>
      <c r="H2690" s="6">
        <f t="shared" ref="H2690:H2753" si="42">D2690*F2690</f>
        <v>7156.47</v>
      </c>
    </row>
    <row r="2691" spans="1:8" x14ac:dyDescent="0.2">
      <c r="A2691" s="2" t="s">
        <v>2774</v>
      </c>
      <c r="B2691" s="2" t="s">
        <v>2690</v>
      </c>
      <c r="C2691" s="2" t="s">
        <v>71</v>
      </c>
      <c r="D2691" s="3">
        <v>382</v>
      </c>
      <c r="E2691" s="4" t="s">
        <v>72</v>
      </c>
      <c r="F2691" s="5">
        <v>2496.85</v>
      </c>
      <c r="G2691" s="4" t="s">
        <v>73</v>
      </c>
      <c r="H2691" s="6">
        <f t="shared" si="42"/>
        <v>953796.7</v>
      </c>
    </row>
    <row r="2692" spans="1:8" x14ac:dyDescent="0.2">
      <c r="A2692" s="2" t="s">
        <v>2775</v>
      </c>
      <c r="B2692" s="2" t="s">
        <v>2690</v>
      </c>
      <c r="C2692" s="2" t="s">
        <v>29</v>
      </c>
      <c r="D2692" s="3">
        <v>4622</v>
      </c>
      <c r="E2692" s="4" t="s">
        <v>30</v>
      </c>
      <c r="F2692" s="5">
        <v>1.08</v>
      </c>
      <c r="G2692" s="4" t="s">
        <v>31</v>
      </c>
      <c r="H2692" s="6">
        <f t="shared" si="42"/>
        <v>4991.76</v>
      </c>
    </row>
    <row r="2693" spans="1:8" x14ac:dyDescent="0.2">
      <c r="A2693" s="2" t="s">
        <v>2776</v>
      </c>
      <c r="B2693" s="2" t="s">
        <v>2690</v>
      </c>
      <c r="C2693" s="2" t="s">
        <v>27</v>
      </c>
      <c r="D2693" s="3">
        <v>3248</v>
      </c>
      <c r="E2693" s="4" t="s">
        <v>20</v>
      </c>
      <c r="F2693" s="5">
        <v>2.04</v>
      </c>
      <c r="G2693" s="4" t="s">
        <v>21</v>
      </c>
      <c r="H2693" s="6">
        <f t="shared" si="42"/>
        <v>6625.92</v>
      </c>
    </row>
    <row r="2694" spans="1:8" x14ac:dyDescent="0.2">
      <c r="A2694" s="2" t="s">
        <v>2777</v>
      </c>
      <c r="B2694" s="2" t="s">
        <v>2690</v>
      </c>
      <c r="C2694" s="2" t="s">
        <v>89</v>
      </c>
      <c r="D2694" s="3">
        <v>4568</v>
      </c>
      <c r="E2694" s="4" t="s">
        <v>30</v>
      </c>
      <c r="F2694" s="5">
        <v>3</v>
      </c>
      <c r="G2694" s="4" t="s">
        <v>31</v>
      </c>
      <c r="H2694" s="6">
        <f t="shared" si="42"/>
        <v>13704</v>
      </c>
    </row>
    <row r="2695" spans="1:8" x14ac:dyDescent="0.2">
      <c r="A2695" s="2" t="s">
        <v>2778</v>
      </c>
      <c r="B2695" s="2" t="s">
        <v>2690</v>
      </c>
      <c r="C2695" s="2" t="s">
        <v>52</v>
      </c>
      <c r="D2695" s="3">
        <v>1737</v>
      </c>
      <c r="E2695" s="4" t="s">
        <v>53</v>
      </c>
      <c r="F2695" s="5">
        <v>12.05</v>
      </c>
      <c r="G2695" s="4" t="s">
        <v>54</v>
      </c>
      <c r="H2695" s="6">
        <f t="shared" si="42"/>
        <v>20930.850000000002</v>
      </c>
    </row>
    <row r="2696" spans="1:8" x14ac:dyDescent="0.2">
      <c r="A2696" s="2" t="s">
        <v>2779</v>
      </c>
      <c r="B2696" s="2" t="s">
        <v>2780</v>
      </c>
      <c r="C2696" s="2" t="s">
        <v>57</v>
      </c>
      <c r="D2696" s="3">
        <v>2816</v>
      </c>
      <c r="E2696" s="4" t="s">
        <v>20</v>
      </c>
      <c r="F2696" s="5">
        <v>0.85</v>
      </c>
      <c r="G2696" s="4" t="s">
        <v>21</v>
      </c>
      <c r="H2696" s="6">
        <f t="shared" si="42"/>
        <v>2393.6</v>
      </c>
    </row>
    <row r="2697" spans="1:8" x14ac:dyDescent="0.2">
      <c r="A2697" s="2" t="s">
        <v>2781</v>
      </c>
      <c r="B2697" s="2" t="s">
        <v>2780</v>
      </c>
      <c r="C2697" s="2" t="s">
        <v>23</v>
      </c>
      <c r="D2697" s="3">
        <v>2246</v>
      </c>
      <c r="E2697" s="4" t="s">
        <v>24</v>
      </c>
      <c r="F2697" s="5">
        <v>13.48</v>
      </c>
      <c r="G2697" s="4" t="s">
        <v>25</v>
      </c>
      <c r="H2697" s="6">
        <f t="shared" si="42"/>
        <v>30276.080000000002</v>
      </c>
    </row>
    <row r="2698" spans="1:8" x14ac:dyDescent="0.2">
      <c r="A2698" s="2" t="s">
        <v>2782</v>
      </c>
      <c r="B2698" s="2" t="s">
        <v>2780</v>
      </c>
      <c r="C2698" s="2" t="s">
        <v>57</v>
      </c>
      <c r="D2698" s="3">
        <v>2808</v>
      </c>
      <c r="E2698" s="4" t="s">
        <v>20</v>
      </c>
      <c r="F2698" s="5">
        <v>0.68</v>
      </c>
      <c r="G2698" s="4" t="s">
        <v>21</v>
      </c>
      <c r="H2698" s="6">
        <f t="shared" si="42"/>
        <v>1909.44</v>
      </c>
    </row>
    <row r="2699" spans="1:8" x14ac:dyDescent="0.2">
      <c r="A2699" s="2" t="s">
        <v>2783</v>
      </c>
      <c r="B2699" s="2" t="s">
        <v>2780</v>
      </c>
      <c r="C2699" s="2" t="s">
        <v>147</v>
      </c>
      <c r="D2699" s="3">
        <v>2700</v>
      </c>
      <c r="E2699" s="4" t="s">
        <v>53</v>
      </c>
      <c r="F2699" s="5">
        <v>8.1300000000000008</v>
      </c>
      <c r="G2699" s="4" t="s">
        <v>54</v>
      </c>
      <c r="H2699" s="6">
        <f t="shared" si="42"/>
        <v>21951.000000000004</v>
      </c>
    </row>
    <row r="2700" spans="1:8" x14ac:dyDescent="0.2">
      <c r="A2700" s="2" t="s">
        <v>2784</v>
      </c>
      <c r="B2700" s="2" t="s">
        <v>2780</v>
      </c>
      <c r="C2700" s="2" t="s">
        <v>89</v>
      </c>
      <c r="D2700" s="3">
        <v>26</v>
      </c>
      <c r="E2700" s="4" t="s">
        <v>30</v>
      </c>
      <c r="F2700" s="5">
        <v>2.5299999999999998</v>
      </c>
      <c r="G2700" s="4" t="s">
        <v>31</v>
      </c>
      <c r="H2700" s="6">
        <f t="shared" si="42"/>
        <v>65.78</v>
      </c>
    </row>
    <row r="2701" spans="1:8" x14ac:dyDescent="0.2">
      <c r="A2701" s="2" t="s">
        <v>2785</v>
      </c>
      <c r="B2701" s="2" t="s">
        <v>2780</v>
      </c>
      <c r="C2701" s="2" t="s">
        <v>33</v>
      </c>
      <c r="D2701" s="3">
        <v>88</v>
      </c>
      <c r="E2701" s="4" t="s">
        <v>34</v>
      </c>
      <c r="F2701" s="5">
        <v>5.18</v>
      </c>
      <c r="G2701" s="4" t="s">
        <v>35</v>
      </c>
      <c r="H2701" s="6">
        <f t="shared" si="42"/>
        <v>455.84</v>
      </c>
    </row>
    <row r="2702" spans="1:8" x14ac:dyDescent="0.2">
      <c r="A2702" s="2" t="s">
        <v>2786</v>
      </c>
      <c r="B2702" s="2" t="s">
        <v>2780</v>
      </c>
      <c r="C2702" s="2" t="s">
        <v>52</v>
      </c>
      <c r="D2702" s="3">
        <v>4563</v>
      </c>
      <c r="E2702" s="4" t="s">
        <v>53</v>
      </c>
      <c r="F2702" s="5">
        <v>13.48</v>
      </c>
      <c r="G2702" s="4" t="s">
        <v>54</v>
      </c>
      <c r="H2702" s="6">
        <f t="shared" si="42"/>
        <v>61509.240000000005</v>
      </c>
    </row>
    <row r="2703" spans="1:8" x14ac:dyDescent="0.2">
      <c r="A2703" s="2" t="s">
        <v>2787</v>
      </c>
      <c r="B2703" s="2" t="s">
        <v>2780</v>
      </c>
      <c r="C2703" s="2" t="s">
        <v>48</v>
      </c>
      <c r="D2703" s="3">
        <v>3227</v>
      </c>
      <c r="E2703" s="4" t="s">
        <v>24</v>
      </c>
      <c r="F2703" s="5">
        <v>0.13</v>
      </c>
      <c r="G2703" s="4" t="s">
        <v>25</v>
      </c>
      <c r="H2703" s="6">
        <f t="shared" si="42"/>
        <v>419.51</v>
      </c>
    </row>
    <row r="2704" spans="1:8" x14ac:dyDescent="0.2">
      <c r="A2704" s="2" t="s">
        <v>2788</v>
      </c>
      <c r="B2704" s="2" t="s">
        <v>2780</v>
      </c>
      <c r="C2704" s="2" t="s">
        <v>27</v>
      </c>
      <c r="D2704" s="3">
        <v>4422</v>
      </c>
      <c r="E2704" s="4" t="s">
        <v>20</v>
      </c>
      <c r="F2704" s="5">
        <v>1.24</v>
      </c>
      <c r="G2704" s="4" t="s">
        <v>21</v>
      </c>
      <c r="H2704" s="6">
        <f t="shared" si="42"/>
        <v>5483.28</v>
      </c>
    </row>
    <row r="2705" spans="1:8" x14ac:dyDescent="0.2">
      <c r="A2705" s="2" t="s">
        <v>2789</v>
      </c>
      <c r="B2705" s="2" t="s">
        <v>2780</v>
      </c>
      <c r="C2705" s="2" t="s">
        <v>23</v>
      </c>
      <c r="D2705" s="3">
        <v>1021</v>
      </c>
      <c r="E2705" s="4" t="s">
        <v>24</v>
      </c>
      <c r="F2705" s="5">
        <v>14.12</v>
      </c>
      <c r="G2705" s="4" t="s">
        <v>25</v>
      </c>
      <c r="H2705" s="6">
        <f t="shared" si="42"/>
        <v>14416.519999999999</v>
      </c>
    </row>
    <row r="2706" spans="1:8" x14ac:dyDescent="0.2">
      <c r="A2706" s="2" t="s">
        <v>2790</v>
      </c>
      <c r="B2706" s="2" t="s">
        <v>2780</v>
      </c>
      <c r="C2706" s="2" t="s">
        <v>67</v>
      </c>
      <c r="D2706" s="3">
        <v>4935</v>
      </c>
      <c r="E2706" s="4" t="s">
        <v>24</v>
      </c>
      <c r="F2706" s="5">
        <v>0.41</v>
      </c>
      <c r="G2706" s="4" t="s">
        <v>25</v>
      </c>
      <c r="H2706" s="6">
        <f t="shared" si="42"/>
        <v>2023.35</v>
      </c>
    </row>
    <row r="2707" spans="1:8" x14ac:dyDescent="0.2">
      <c r="A2707" s="2" t="s">
        <v>2791</v>
      </c>
      <c r="B2707" s="2" t="s">
        <v>2780</v>
      </c>
      <c r="C2707" s="2" t="s">
        <v>118</v>
      </c>
      <c r="D2707" s="3">
        <v>79</v>
      </c>
      <c r="E2707" s="4" t="s">
        <v>24</v>
      </c>
      <c r="F2707" s="5">
        <v>0.49</v>
      </c>
      <c r="G2707" s="4" t="s">
        <v>25</v>
      </c>
      <c r="H2707" s="6">
        <f t="shared" si="42"/>
        <v>38.71</v>
      </c>
    </row>
    <row r="2708" spans="1:8" x14ac:dyDescent="0.2">
      <c r="A2708" s="2" t="s">
        <v>2792</v>
      </c>
      <c r="B2708" s="2" t="s">
        <v>2780</v>
      </c>
      <c r="C2708" s="2" t="s">
        <v>19</v>
      </c>
      <c r="D2708" s="3">
        <v>1590</v>
      </c>
      <c r="E2708" s="4" t="s">
        <v>20</v>
      </c>
      <c r="F2708" s="5">
        <v>1.37</v>
      </c>
      <c r="G2708" s="4" t="s">
        <v>21</v>
      </c>
      <c r="H2708" s="6">
        <f t="shared" si="42"/>
        <v>2178.3000000000002</v>
      </c>
    </row>
    <row r="2709" spans="1:8" x14ac:dyDescent="0.2">
      <c r="A2709" s="2" t="s">
        <v>2793</v>
      </c>
      <c r="B2709" s="2" t="s">
        <v>2780</v>
      </c>
      <c r="C2709" s="2" t="s">
        <v>42</v>
      </c>
      <c r="D2709" s="3">
        <v>172</v>
      </c>
      <c r="E2709" s="4" t="s">
        <v>24</v>
      </c>
      <c r="F2709" s="5">
        <v>5.78</v>
      </c>
      <c r="G2709" s="4" t="s">
        <v>25</v>
      </c>
      <c r="H2709" s="6">
        <f t="shared" si="42"/>
        <v>994.16000000000008</v>
      </c>
    </row>
    <row r="2710" spans="1:8" x14ac:dyDescent="0.2">
      <c r="A2710" s="2" t="s">
        <v>2794</v>
      </c>
      <c r="B2710" s="2" t="s">
        <v>2780</v>
      </c>
      <c r="C2710" s="2" t="s">
        <v>19</v>
      </c>
      <c r="D2710" s="3">
        <v>1578</v>
      </c>
      <c r="E2710" s="4" t="s">
        <v>20</v>
      </c>
      <c r="F2710" s="5">
        <v>1.1499999999999999</v>
      </c>
      <c r="G2710" s="4" t="s">
        <v>21</v>
      </c>
      <c r="H2710" s="6">
        <f t="shared" si="42"/>
        <v>1814.6999999999998</v>
      </c>
    </row>
    <row r="2711" spans="1:8" x14ac:dyDescent="0.2">
      <c r="A2711" s="2" t="s">
        <v>2795</v>
      </c>
      <c r="B2711" s="2" t="s">
        <v>2780</v>
      </c>
      <c r="C2711" s="2" t="s">
        <v>147</v>
      </c>
      <c r="D2711" s="3">
        <v>2493</v>
      </c>
      <c r="E2711" s="4" t="s">
        <v>53</v>
      </c>
      <c r="F2711" s="5">
        <v>14.47</v>
      </c>
      <c r="G2711" s="4" t="s">
        <v>54</v>
      </c>
      <c r="H2711" s="6">
        <f t="shared" si="42"/>
        <v>36073.71</v>
      </c>
    </row>
    <row r="2712" spans="1:8" x14ac:dyDescent="0.2">
      <c r="A2712" s="2" t="s">
        <v>2796</v>
      </c>
      <c r="B2712" s="2" t="s">
        <v>2780</v>
      </c>
      <c r="C2712" s="2" t="s">
        <v>42</v>
      </c>
      <c r="D2712" s="3">
        <v>1929</v>
      </c>
      <c r="E2712" s="4" t="s">
        <v>24</v>
      </c>
      <c r="F2712" s="5">
        <v>6.44</v>
      </c>
      <c r="G2712" s="4" t="s">
        <v>25</v>
      </c>
      <c r="H2712" s="6">
        <f t="shared" si="42"/>
        <v>12422.76</v>
      </c>
    </row>
    <row r="2713" spans="1:8" x14ac:dyDescent="0.2">
      <c r="A2713" s="2" t="s">
        <v>2797</v>
      </c>
      <c r="B2713" s="2" t="s">
        <v>2780</v>
      </c>
      <c r="C2713" s="2" t="s">
        <v>19</v>
      </c>
      <c r="D2713" s="3">
        <v>311</v>
      </c>
      <c r="E2713" s="4" t="s">
        <v>20</v>
      </c>
      <c r="F2713" s="5">
        <v>1.27</v>
      </c>
      <c r="G2713" s="4" t="s">
        <v>21</v>
      </c>
      <c r="H2713" s="6">
        <f t="shared" si="42"/>
        <v>394.97</v>
      </c>
    </row>
    <row r="2714" spans="1:8" x14ac:dyDescent="0.2">
      <c r="A2714" s="2" t="s">
        <v>2798</v>
      </c>
      <c r="B2714" s="2" t="s">
        <v>2780</v>
      </c>
      <c r="C2714" s="2" t="s">
        <v>147</v>
      </c>
      <c r="D2714" s="3">
        <v>1722</v>
      </c>
      <c r="E2714" s="4" t="s">
        <v>53</v>
      </c>
      <c r="F2714" s="5">
        <v>8.06</v>
      </c>
      <c r="G2714" s="4" t="s">
        <v>54</v>
      </c>
      <c r="H2714" s="6">
        <f t="shared" si="42"/>
        <v>13879.320000000002</v>
      </c>
    </row>
    <row r="2715" spans="1:8" x14ac:dyDescent="0.2">
      <c r="A2715" s="2" t="s">
        <v>2799</v>
      </c>
      <c r="B2715" s="2" t="s">
        <v>2780</v>
      </c>
      <c r="C2715" s="2" t="s">
        <v>67</v>
      </c>
      <c r="D2715" s="3">
        <v>918</v>
      </c>
      <c r="E2715" s="4" t="s">
        <v>24</v>
      </c>
      <c r="F2715" s="5">
        <v>0.56000000000000005</v>
      </c>
      <c r="G2715" s="4" t="s">
        <v>25</v>
      </c>
      <c r="H2715" s="6">
        <f t="shared" si="42"/>
        <v>514.08000000000004</v>
      </c>
    </row>
    <row r="2716" spans="1:8" x14ac:dyDescent="0.2">
      <c r="A2716" s="2" t="s">
        <v>2800</v>
      </c>
      <c r="B2716" s="2" t="s">
        <v>2780</v>
      </c>
      <c r="C2716" s="2" t="s">
        <v>46</v>
      </c>
      <c r="D2716" s="3">
        <v>4108</v>
      </c>
      <c r="E2716" s="4" t="s">
        <v>20</v>
      </c>
      <c r="F2716" s="5">
        <v>2.99</v>
      </c>
      <c r="G2716" s="4" t="s">
        <v>21</v>
      </c>
      <c r="H2716" s="6">
        <f t="shared" si="42"/>
        <v>12282.92</v>
      </c>
    </row>
    <row r="2717" spans="1:8" x14ac:dyDescent="0.2">
      <c r="A2717" s="2" t="s">
        <v>2801</v>
      </c>
      <c r="B2717" s="2" t="s">
        <v>2780</v>
      </c>
      <c r="C2717" s="2" t="s">
        <v>29</v>
      </c>
      <c r="D2717" s="3">
        <v>1597</v>
      </c>
      <c r="E2717" s="4" t="s">
        <v>30</v>
      </c>
      <c r="F2717" s="5">
        <v>1.79</v>
      </c>
      <c r="G2717" s="4" t="s">
        <v>31</v>
      </c>
      <c r="H2717" s="6">
        <f t="shared" si="42"/>
        <v>2858.63</v>
      </c>
    </row>
    <row r="2718" spans="1:8" x14ac:dyDescent="0.2">
      <c r="A2718" s="2" t="s">
        <v>2802</v>
      </c>
      <c r="B2718" s="2" t="s">
        <v>2780</v>
      </c>
      <c r="C2718" s="2" t="s">
        <v>46</v>
      </c>
      <c r="D2718" s="3">
        <v>4949</v>
      </c>
      <c r="E2718" s="4" t="s">
        <v>20</v>
      </c>
      <c r="F2718" s="5">
        <v>3.13</v>
      </c>
      <c r="G2718" s="4" t="s">
        <v>21</v>
      </c>
      <c r="H2718" s="6">
        <f t="shared" si="42"/>
        <v>15490.369999999999</v>
      </c>
    </row>
    <row r="2719" spans="1:8" x14ac:dyDescent="0.2">
      <c r="A2719" s="2" t="s">
        <v>2803</v>
      </c>
      <c r="B2719" s="2" t="s">
        <v>2780</v>
      </c>
      <c r="C2719" s="2" t="s">
        <v>27</v>
      </c>
      <c r="D2719" s="3">
        <v>4828</v>
      </c>
      <c r="E2719" s="4" t="s">
        <v>20</v>
      </c>
      <c r="F2719" s="5">
        <v>1.35</v>
      </c>
      <c r="G2719" s="4" t="s">
        <v>21</v>
      </c>
      <c r="H2719" s="6">
        <f t="shared" si="42"/>
        <v>6517.8</v>
      </c>
    </row>
    <row r="2720" spans="1:8" x14ac:dyDescent="0.2">
      <c r="A2720" s="2" t="s">
        <v>2804</v>
      </c>
      <c r="B2720" s="2" t="s">
        <v>2780</v>
      </c>
      <c r="C2720" s="2" t="s">
        <v>27</v>
      </c>
      <c r="D2720" s="3">
        <v>1053</v>
      </c>
      <c r="E2720" s="4" t="s">
        <v>20</v>
      </c>
      <c r="F2720" s="5">
        <v>1.51</v>
      </c>
      <c r="G2720" s="4" t="s">
        <v>21</v>
      </c>
      <c r="H2720" s="6">
        <f t="shared" si="42"/>
        <v>1590.03</v>
      </c>
    </row>
    <row r="2721" spans="1:8" x14ac:dyDescent="0.2">
      <c r="A2721" s="2" t="s">
        <v>2805</v>
      </c>
      <c r="B2721" s="2" t="s">
        <v>2780</v>
      </c>
      <c r="C2721" s="2" t="s">
        <v>46</v>
      </c>
      <c r="D2721" s="3">
        <v>1877</v>
      </c>
      <c r="E2721" s="4" t="s">
        <v>20</v>
      </c>
      <c r="F2721" s="5">
        <v>3.76</v>
      </c>
      <c r="G2721" s="4" t="s">
        <v>21</v>
      </c>
      <c r="H2721" s="6">
        <f t="shared" si="42"/>
        <v>7057.5199999999995</v>
      </c>
    </row>
    <row r="2722" spans="1:8" x14ac:dyDescent="0.2">
      <c r="A2722" s="2" t="s">
        <v>2806</v>
      </c>
      <c r="B2722" s="2" t="s">
        <v>2780</v>
      </c>
      <c r="C2722" s="2" t="s">
        <v>86</v>
      </c>
      <c r="D2722" s="3">
        <v>1581</v>
      </c>
      <c r="E2722" s="4" t="s">
        <v>72</v>
      </c>
      <c r="F2722" s="5">
        <v>8986.73</v>
      </c>
      <c r="G2722" s="4" t="s">
        <v>73</v>
      </c>
      <c r="H2722" s="6">
        <f t="shared" si="42"/>
        <v>14208020.129999999</v>
      </c>
    </row>
    <row r="2723" spans="1:8" x14ac:dyDescent="0.2">
      <c r="A2723" s="2" t="s">
        <v>2807</v>
      </c>
      <c r="B2723" s="2" t="s">
        <v>2780</v>
      </c>
      <c r="C2723" s="2" t="s">
        <v>33</v>
      </c>
      <c r="D2723" s="3">
        <v>4375</v>
      </c>
      <c r="E2723" s="4" t="s">
        <v>34</v>
      </c>
      <c r="F2723" s="5">
        <v>5.04</v>
      </c>
      <c r="G2723" s="4" t="s">
        <v>35</v>
      </c>
      <c r="H2723" s="6">
        <f t="shared" si="42"/>
        <v>22050</v>
      </c>
    </row>
    <row r="2724" spans="1:8" x14ac:dyDescent="0.2">
      <c r="A2724" s="2" t="s">
        <v>2808</v>
      </c>
      <c r="B2724" s="2" t="s">
        <v>2780</v>
      </c>
      <c r="C2724" s="2" t="s">
        <v>29</v>
      </c>
      <c r="D2724" s="3">
        <v>3728</v>
      </c>
      <c r="E2724" s="4" t="s">
        <v>30</v>
      </c>
      <c r="F2724" s="5">
        <v>1</v>
      </c>
      <c r="G2724" s="4" t="s">
        <v>31</v>
      </c>
      <c r="H2724" s="6">
        <f t="shared" si="42"/>
        <v>3728</v>
      </c>
    </row>
    <row r="2725" spans="1:8" x14ac:dyDescent="0.2">
      <c r="A2725" s="2" t="s">
        <v>2809</v>
      </c>
      <c r="B2725" s="2" t="s">
        <v>2780</v>
      </c>
      <c r="C2725" s="2" t="s">
        <v>52</v>
      </c>
      <c r="D2725" s="3">
        <v>434</v>
      </c>
      <c r="E2725" s="4" t="s">
        <v>53</v>
      </c>
      <c r="F2725" s="5">
        <v>13.27</v>
      </c>
      <c r="G2725" s="4" t="s">
        <v>54</v>
      </c>
      <c r="H2725" s="6">
        <f t="shared" si="42"/>
        <v>5759.1799999999994</v>
      </c>
    </row>
    <row r="2726" spans="1:8" x14ac:dyDescent="0.2">
      <c r="A2726" s="2" t="s">
        <v>2810</v>
      </c>
      <c r="B2726" s="2" t="s">
        <v>2780</v>
      </c>
      <c r="C2726" s="2" t="s">
        <v>57</v>
      </c>
      <c r="D2726" s="3">
        <v>3553</v>
      </c>
      <c r="E2726" s="4" t="s">
        <v>20</v>
      </c>
      <c r="F2726" s="5">
        <v>0.94</v>
      </c>
      <c r="G2726" s="4" t="s">
        <v>21</v>
      </c>
      <c r="H2726" s="6">
        <f t="shared" si="42"/>
        <v>3339.8199999999997</v>
      </c>
    </row>
    <row r="2727" spans="1:8" x14ac:dyDescent="0.2">
      <c r="A2727" s="2" t="s">
        <v>2811</v>
      </c>
      <c r="B2727" s="2" t="s">
        <v>2780</v>
      </c>
      <c r="C2727" s="2" t="s">
        <v>52</v>
      </c>
      <c r="D2727" s="3">
        <v>2254</v>
      </c>
      <c r="E2727" s="4" t="s">
        <v>53</v>
      </c>
      <c r="F2727" s="5">
        <v>9.61</v>
      </c>
      <c r="G2727" s="4" t="s">
        <v>54</v>
      </c>
      <c r="H2727" s="6">
        <f t="shared" si="42"/>
        <v>21660.94</v>
      </c>
    </row>
    <row r="2728" spans="1:8" x14ac:dyDescent="0.2">
      <c r="A2728" s="2" t="s">
        <v>2812</v>
      </c>
      <c r="B2728" s="2" t="s">
        <v>2780</v>
      </c>
      <c r="C2728" s="2" t="s">
        <v>78</v>
      </c>
      <c r="D2728" s="3">
        <v>3832</v>
      </c>
      <c r="E2728" s="4" t="s">
        <v>38</v>
      </c>
      <c r="F2728" s="5">
        <v>2.34</v>
      </c>
      <c r="G2728" s="4" t="s">
        <v>39</v>
      </c>
      <c r="H2728" s="6">
        <f t="shared" si="42"/>
        <v>8966.8799999999992</v>
      </c>
    </row>
    <row r="2729" spans="1:8" x14ac:dyDescent="0.2">
      <c r="A2729" s="2" t="s">
        <v>2813</v>
      </c>
      <c r="B2729" s="2" t="s">
        <v>2780</v>
      </c>
      <c r="C2729" s="2" t="s">
        <v>78</v>
      </c>
      <c r="D2729" s="3">
        <v>366</v>
      </c>
      <c r="E2729" s="4" t="s">
        <v>38</v>
      </c>
      <c r="F2729" s="5">
        <v>3</v>
      </c>
      <c r="G2729" s="4" t="s">
        <v>39</v>
      </c>
      <c r="H2729" s="6">
        <f t="shared" si="42"/>
        <v>1098</v>
      </c>
    </row>
    <row r="2730" spans="1:8" x14ac:dyDescent="0.2">
      <c r="A2730" s="2" t="s">
        <v>2814</v>
      </c>
      <c r="B2730" s="2" t="s">
        <v>2780</v>
      </c>
      <c r="C2730" s="2" t="s">
        <v>42</v>
      </c>
      <c r="D2730" s="3">
        <v>394</v>
      </c>
      <c r="E2730" s="4" t="s">
        <v>24</v>
      </c>
      <c r="F2730" s="5">
        <v>4.33</v>
      </c>
      <c r="G2730" s="4" t="s">
        <v>25</v>
      </c>
      <c r="H2730" s="6">
        <f t="shared" si="42"/>
        <v>1706.02</v>
      </c>
    </row>
    <row r="2731" spans="1:8" x14ac:dyDescent="0.2">
      <c r="A2731" s="2" t="s">
        <v>2815</v>
      </c>
      <c r="B2731" s="2" t="s">
        <v>2780</v>
      </c>
      <c r="C2731" s="2" t="s">
        <v>52</v>
      </c>
      <c r="D2731" s="3">
        <v>4371</v>
      </c>
      <c r="E2731" s="4" t="s">
        <v>53</v>
      </c>
      <c r="F2731" s="5">
        <v>11.24</v>
      </c>
      <c r="G2731" s="4" t="s">
        <v>54</v>
      </c>
      <c r="H2731" s="6">
        <f t="shared" si="42"/>
        <v>49130.04</v>
      </c>
    </row>
    <row r="2732" spans="1:8" x14ac:dyDescent="0.2">
      <c r="A2732" s="2" t="s">
        <v>2816</v>
      </c>
      <c r="B2732" s="2" t="s">
        <v>2780</v>
      </c>
      <c r="C2732" s="2" t="s">
        <v>33</v>
      </c>
      <c r="D2732" s="3">
        <v>3220</v>
      </c>
      <c r="E2732" s="4" t="s">
        <v>34</v>
      </c>
      <c r="F2732" s="5">
        <v>3.99</v>
      </c>
      <c r="G2732" s="4" t="s">
        <v>35</v>
      </c>
      <c r="H2732" s="6">
        <f t="shared" si="42"/>
        <v>12847.800000000001</v>
      </c>
    </row>
    <row r="2733" spans="1:8" x14ac:dyDescent="0.2">
      <c r="A2733" s="2" t="s">
        <v>2817</v>
      </c>
      <c r="B2733" s="2" t="s">
        <v>2780</v>
      </c>
      <c r="C2733" s="2" t="s">
        <v>27</v>
      </c>
      <c r="D2733" s="3">
        <v>4694</v>
      </c>
      <c r="E2733" s="4" t="s">
        <v>20</v>
      </c>
      <c r="F2733" s="5">
        <v>2.17</v>
      </c>
      <c r="G2733" s="4" t="s">
        <v>21</v>
      </c>
      <c r="H2733" s="6">
        <f t="shared" si="42"/>
        <v>10185.98</v>
      </c>
    </row>
    <row r="2734" spans="1:8" x14ac:dyDescent="0.2">
      <c r="A2734" s="2" t="s">
        <v>2818</v>
      </c>
      <c r="B2734" s="2" t="s">
        <v>2780</v>
      </c>
      <c r="C2734" s="2" t="s">
        <v>42</v>
      </c>
      <c r="D2734" s="3">
        <v>3481</v>
      </c>
      <c r="E2734" s="4" t="s">
        <v>24</v>
      </c>
      <c r="F2734" s="5">
        <v>6.37</v>
      </c>
      <c r="G2734" s="4" t="s">
        <v>25</v>
      </c>
      <c r="H2734" s="6">
        <f t="shared" si="42"/>
        <v>22173.97</v>
      </c>
    </row>
    <row r="2735" spans="1:8" x14ac:dyDescent="0.2">
      <c r="A2735" s="2" t="s">
        <v>2819</v>
      </c>
      <c r="B2735" s="2" t="s">
        <v>2780</v>
      </c>
      <c r="C2735" s="2" t="s">
        <v>42</v>
      </c>
      <c r="D2735" s="3">
        <v>1622</v>
      </c>
      <c r="E2735" s="4" t="s">
        <v>24</v>
      </c>
      <c r="F2735" s="5">
        <v>3.99</v>
      </c>
      <c r="G2735" s="4" t="s">
        <v>25</v>
      </c>
      <c r="H2735" s="6">
        <f t="shared" si="42"/>
        <v>6471.7800000000007</v>
      </c>
    </row>
    <row r="2736" spans="1:8" x14ac:dyDescent="0.2">
      <c r="A2736" s="2" t="s">
        <v>2820</v>
      </c>
      <c r="B2736" s="2" t="s">
        <v>2780</v>
      </c>
      <c r="C2736" s="2" t="s">
        <v>71</v>
      </c>
      <c r="D2736" s="3">
        <v>524</v>
      </c>
      <c r="E2736" s="4" t="s">
        <v>72</v>
      </c>
      <c r="F2736" s="5">
        <v>2775.6</v>
      </c>
      <c r="G2736" s="4" t="s">
        <v>73</v>
      </c>
      <c r="H2736" s="6">
        <f t="shared" si="42"/>
        <v>1454414.4</v>
      </c>
    </row>
    <row r="2737" spans="1:8" x14ac:dyDescent="0.2">
      <c r="A2737" s="2" t="s">
        <v>2821</v>
      </c>
      <c r="B2737" s="2" t="s">
        <v>2780</v>
      </c>
      <c r="C2737" s="2" t="s">
        <v>50</v>
      </c>
      <c r="D2737" s="3">
        <v>238</v>
      </c>
      <c r="E2737" s="4" t="s">
        <v>20</v>
      </c>
      <c r="F2737" s="5">
        <v>0.99</v>
      </c>
      <c r="G2737" s="4" t="s">
        <v>21</v>
      </c>
      <c r="H2737" s="6">
        <f t="shared" si="42"/>
        <v>235.62</v>
      </c>
    </row>
    <row r="2738" spans="1:8" x14ac:dyDescent="0.2">
      <c r="A2738" s="2" t="s">
        <v>2822</v>
      </c>
      <c r="B2738" s="2" t="s">
        <v>2780</v>
      </c>
      <c r="C2738" s="2" t="s">
        <v>33</v>
      </c>
      <c r="D2738" s="3">
        <v>4864</v>
      </c>
      <c r="E2738" s="4" t="s">
        <v>34</v>
      </c>
      <c r="F2738" s="5">
        <v>5.49</v>
      </c>
      <c r="G2738" s="4" t="s">
        <v>35</v>
      </c>
      <c r="H2738" s="6">
        <f t="shared" si="42"/>
        <v>26703.360000000001</v>
      </c>
    </row>
    <row r="2739" spans="1:8" x14ac:dyDescent="0.2">
      <c r="A2739" s="2" t="s">
        <v>2823</v>
      </c>
      <c r="B2739" s="2" t="s">
        <v>2780</v>
      </c>
      <c r="C2739" s="2" t="s">
        <v>57</v>
      </c>
      <c r="D2739" s="3">
        <v>2061</v>
      </c>
      <c r="E2739" s="4" t="s">
        <v>20</v>
      </c>
      <c r="F2739" s="5">
        <v>0.7</v>
      </c>
      <c r="G2739" s="4" t="s">
        <v>21</v>
      </c>
      <c r="H2739" s="6">
        <f t="shared" si="42"/>
        <v>1442.6999999999998</v>
      </c>
    </row>
    <row r="2740" spans="1:8" x14ac:dyDescent="0.2">
      <c r="A2740" s="2" t="s">
        <v>2824</v>
      </c>
      <c r="B2740" s="2" t="s">
        <v>2780</v>
      </c>
      <c r="C2740" s="2" t="s">
        <v>48</v>
      </c>
      <c r="D2740" s="3">
        <v>1962</v>
      </c>
      <c r="E2740" s="4" t="s">
        <v>24</v>
      </c>
      <c r="F2740" s="5">
        <v>0.19</v>
      </c>
      <c r="G2740" s="4" t="s">
        <v>25</v>
      </c>
      <c r="H2740" s="6">
        <f t="shared" si="42"/>
        <v>372.78000000000003</v>
      </c>
    </row>
    <row r="2741" spans="1:8" x14ac:dyDescent="0.2">
      <c r="A2741" s="2" t="s">
        <v>2825</v>
      </c>
      <c r="B2741" s="2" t="s">
        <v>2780</v>
      </c>
      <c r="C2741" s="2" t="s">
        <v>37</v>
      </c>
      <c r="D2741" s="3">
        <v>2742</v>
      </c>
      <c r="E2741" s="4" t="s">
        <v>38</v>
      </c>
      <c r="F2741" s="5">
        <v>3.56</v>
      </c>
      <c r="G2741" s="4" t="s">
        <v>39</v>
      </c>
      <c r="H2741" s="6">
        <f t="shared" si="42"/>
        <v>9761.52</v>
      </c>
    </row>
    <row r="2742" spans="1:8" x14ac:dyDescent="0.2">
      <c r="A2742" s="2" t="s">
        <v>2826</v>
      </c>
      <c r="B2742" s="2" t="s">
        <v>2780</v>
      </c>
      <c r="C2742" s="2" t="s">
        <v>42</v>
      </c>
      <c r="D2742" s="3">
        <v>607</v>
      </c>
      <c r="E2742" s="4" t="s">
        <v>24</v>
      </c>
      <c r="F2742" s="5">
        <v>5.83</v>
      </c>
      <c r="G2742" s="4" t="s">
        <v>25</v>
      </c>
      <c r="H2742" s="6">
        <f t="shared" si="42"/>
        <v>3538.81</v>
      </c>
    </row>
    <row r="2743" spans="1:8" x14ac:dyDescent="0.2">
      <c r="A2743" s="2" t="s">
        <v>2827</v>
      </c>
      <c r="B2743" s="2" t="s">
        <v>2780</v>
      </c>
      <c r="C2743" s="2" t="s">
        <v>147</v>
      </c>
      <c r="D2743" s="3">
        <v>3602</v>
      </c>
      <c r="E2743" s="4" t="s">
        <v>53</v>
      </c>
      <c r="F2743" s="5">
        <v>14.11</v>
      </c>
      <c r="G2743" s="4" t="s">
        <v>54</v>
      </c>
      <c r="H2743" s="6">
        <f t="shared" si="42"/>
        <v>50824.22</v>
      </c>
    </row>
    <row r="2744" spans="1:8" x14ac:dyDescent="0.2">
      <c r="A2744" s="2" t="s">
        <v>2828</v>
      </c>
      <c r="B2744" s="2" t="s">
        <v>2780</v>
      </c>
      <c r="C2744" s="2" t="s">
        <v>23</v>
      </c>
      <c r="D2744" s="3">
        <v>4752</v>
      </c>
      <c r="E2744" s="4" t="s">
        <v>24</v>
      </c>
      <c r="F2744" s="5">
        <v>12.75</v>
      </c>
      <c r="G2744" s="4" t="s">
        <v>25</v>
      </c>
      <c r="H2744" s="6">
        <f t="shared" si="42"/>
        <v>60588</v>
      </c>
    </row>
    <row r="2745" spans="1:8" x14ac:dyDescent="0.2">
      <c r="A2745" s="2" t="s">
        <v>2829</v>
      </c>
      <c r="B2745" s="2" t="s">
        <v>2780</v>
      </c>
      <c r="C2745" s="2" t="s">
        <v>37</v>
      </c>
      <c r="D2745" s="3">
        <v>283</v>
      </c>
      <c r="E2745" s="4" t="s">
        <v>38</v>
      </c>
      <c r="F2745" s="5">
        <v>3.13</v>
      </c>
      <c r="G2745" s="4" t="s">
        <v>39</v>
      </c>
      <c r="H2745" s="6">
        <f t="shared" si="42"/>
        <v>885.79</v>
      </c>
    </row>
    <row r="2746" spans="1:8" x14ac:dyDescent="0.2">
      <c r="A2746" s="2" t="s">
        <v>2830</v>
      </c>
      <c r="B2746" s="2" t="s">
        <v>2780</v>
      </c>
      <c r="C2746" s="2" t="s">
        <v>27</v>
      </c>
      <c r="D2746" s="3">
        <v>1054</v>
      </c>
      <c r="E2746" s="4" t="s">
        <v>20</v>
      </c>
      <c r="F2746" s="5">
        <v>1.27</v>
      </c>
      <c r="G2746" s="4" t="s">
        <v>21</v>
      </c>
      <c r="H2746" s="6">
        <f t="shared" si="42"/>
        <v>1338.58</v>
      </c>
    </row>
    <row r="2747" spans="1:8" x14ac:dyDescent="0.2">
      <c r="A2747" s="2" t="s">
        <v>2831</v>
      </c>
      <c r="B2747" s="2" t="s">
        <v>2780</v>
      </c>
      <c r="C2747" s="2" t="s">
        <v>23</v>
      </c>
      <c r="D2747" s="3">
        <v>458</v>
      </c>
      <c r="E2747" s="4" t="s">
        <v>24</v>
      </c>
      <c r="F2747" s="5">
        <v>13.81</v>
      </c>
      <c r="G2747" s="4" t="s">
        <v>25</v>
      </c>
      <c r="H2747" s="6">
        <f t="shared" si="42"/>
        <v>6324.9800000000005</v>
      </c>
    </row>
    <row r="2748" spans="1:8" x14ac:dyDescent="0.2">
      <c r="A2748" s="2" t="s">
        <v>2832</v>
      </c>
      <c r="B2748" s="2" t="s">
        <v>2780</v>
      </c>
      <c r="C2748" s="2" t="s">
        <v>52</v>
      </c>
      <c r="D2748" s="3">
        <v>548</v>
      </c>
      <c r="E2748" s="4" t="s">
        <v>53</v>
      </c>
      <c r="F2748" s="5">
        <v>9.51</v>
      </c>
      <c r="G2748" s="4" t="s">
        <v>54</v>
      </c>
      <c r="H2748" s="6">
        <f t="shared" si="42"/>
        <v>5211.4799999999996</v>
      </c>
    </row>
    <row r="2749" spans="1:8" x14ac:dyDescent="0.2">
      <c r="A2749" s="2" t="s">
        <v>2833</v>
      </c>
      <c r="B2749" s="2" t="s">
        <v>2780</v>
      </c>
      <c r="C2749" s="2" t="s">
        <v>37</v>
      </c>
      <c r="D2749" s="3">
        <v>4591</v>
      </c>
      <c r="E2749" s="4" t="s">
        <v>38</v>
      </c>
      <c r="F2749" s="5">
        <v>2.16</v>
      </c>
      <c r="G2749" s="4" t="s">
        <v>39</v>
      </c>
      <c r="H2749" s="6">
        <f t="shared" si="42"/>
        <v>9916.5600000000013</v>
      </c>
    </row>
    <row r="2750" spans="1:8" x14ac:dyDescent="0.2">
      <c r="A2750" s="2" t="s">
        <v>2834</v>
      </c>
      <c r="B2750" s="2" t="s">
        <v>2780</v>
      </c>
      <c r="C2750" s="2" t="s">
        <v>67</v>
      </c>
      <c r="D2750" s="3">
        <v>3300</v>
      </c>
      <c r="E2750" s="4" t="s">
        <v>24</v>
      </c>
      <c r="F2750" s="5">
        <v>0.33</v>
      </c>
      <c r="G2750" s="4" t="s">
        <v>25</v>
      </c>
      <c r="H2750" s="6">
        <f t="shared" si="42"/>
        <v>1089</v>
      </c>
    </row>
    <row r="2751" spans="1:8" x14ac:dyDescent="0.2">
      <c r="A2751" s="2" t="s">
        <v>2835</v>
      </c>
      <c r="B2751" s="2" t="s">
        <v>2780</v>
      </c>
      <c r="C2751" s="2" t="s">
        <v>52</v>
      </c>
      <c r="D2751" s="3">
        <v>1919</v>
      </c>
      <c r="E2751" s="4" t="s">
        <v>53</v>
      </c>
      <c r="F2751" s="5">
        <v>13.32</v>
      </c>
      <c r="G2751" s="4" t="s">
        <v>54</v>
      </c>
      <c r="H2751" s="6">
        <f t="shared" si="42"/>
        <v>25561.08</v>
      </c>
    </row>
    <row r="2752" spans="1:8" x14ac:dyDescent="0.2">
      <c r="A2752" s="2" t="s">
        <v>2836</v>
      </c>
      <c r="B2752" s="2" t="s">
        <v>2780</v>
      </c>
      <c r="C2752" s="2" t="s">
        <v>147</v>
      </c>
      <c r="D2752" s="3">
        <v>96</v>
      </c>
      <c r="E2752" s="4" t="s">
        <v>53</v>
      </c>
      <c r="F2752" s="5">
        <v>11.63</v>
      </c>
      <c r="G2752" s="4" t="s">
        <v>54</v>
      </c>
      <c r="H2752" s="6">
        <f t="shared" si="42"/>
        <v>1116.48</v>
      </c>
    </row>
    <row r="2753" spans="1:8" x14ac:dyDescent="0.2">
      <c r="A2753" s="2" t="s">
        <v>2837</v>
      </c>
      <c r="B2753" s="2" t="s">
        <v>2780</v>
      </c>
      <c r="C2753" s="2" t="s">
        <v>23</v>
      </c>
      <c r="D2753" s="3">
        <v>3517</v>
      </c>
      <c r="E2753" s="4" t="s">
        <v>24</v>
      </c>
      <c r="F2753" s="5">
        <v>17.28</v>
      </c>
      <c r="G2753" s="4" t="s">
        <v>25</v>
      </c>
      <c r="H2753" s="6">
        <f t="shared" si="42"/>
        <v>60773.760000000002</v>
      </c>
    </row>
    <row r="2754" spans="1:8" x14ac:dyDescent="0.2">
      <c r="A2754" s="2" t="s">
        <v>2838</v>
      </c>
      <c r="B2754" s="2" t="s">
        <v>2780</v>
      </c>
      <c r="C2754" s="2" t="s">
        <v>147</v>
      </c>
      <c r="D2754" s="3">
        <v>839</v>
      </c>
      <c r="E2754" s="4" t="s">
        <v>53</v>
      </c>
      <c r="F2754" s="5">
        <v>10.72</v>
      </c>
      <c r="G2754" s="4" t="s">
        <v>54</v>
      </c>
      <c r="H2754" s="6">
        <f t="shared" ref="H2754:H2817" si="43">D2754*F2754</f>
        <v>8994.08</v>
      </c>
    </row>
    <row r="2755" spans="1:8" x14ac:dyDescent="0.2">
      <c r="A2755" s="2" t="s">
        <v>2839</v>
      </c>
      <c r="B2755" s="2" t="s">
        <v>2780</v>
      </c>
      <c r="C2755" s="2" t="s">
        <v>33</v>
      </c>
      <c r="D2755" s="3">
        <v>3729</v>
      </c>
      <c r="E2755" s="4" t="s">
        <v>34</v>
      </c>
      <c r="F2755" s="5">
        <v>4.79</v>
      </c>
      <c r="G2755" s="4" t="s">
        <v>35</v>
      </c>
      <c r="H2755" s="6">
        <f t="shared" si="43"/>
        <v>17861.91</v>
      </c>
    </row>
    <row r="2756" spans="1:8" x14ac:dyDescent="0.2">
      <c r="A2756" s="2" t="s">
        <v>2840</v>
      </c>
      <c r="B2756" s="2" t="s">
        <v>2780</v>
      </c>
      <c r="C2756" s="2" t="s">
        <v>46</v>
      </c>
      <c r="D2756" s="3">
        <v>1586</v>
      </c>
      <c r="E2756" s="4" t="s">
        <v>20</v>
      </c>
      <c r="F2756" s="5">
        <v>2.2200000000000002</v>
      </c>
      <c r="G2756" s="4" t="s">
        <v>21</v>
      </c>
      <c r="H2756" s="6">
        <f t="shared" si="43"/>
        <v>3520.9200000000005</v>
      </c>
    </row>
    <row r="2757" spans="1:8" x14ac:dyDescent="0.2">
      <c r="A2757" s="2" t="s">
        <v>2841</v>
      </c>
      <c r="B2757" s="2" t="s">
        <v>2842</v>
      </c>
      <c r="C2757" s="2" t="s">
        <v>33</v>
      </c>
      <c r="D2757" s="3">
        <v>4885</v>
      </c>
      <c r="E2757" s="4" t="s">
        <v>34</v>
      </c>
      <c r="F2757" s="5">
        <v>5.28</v>
      </c>
      <c r="G2757" s="4" t="s">
        <v>35</v>
      </c>
      <c r="H2757" s="6">
        <f t="shared" si="43"/>
        <v>25792.800000000003</v>
      </c>
    </row>
    <row r="2758" spans="1:8" x14ac:dyDescent="0.2">
      <c r="A2758" s="2" t="s">
        <v>2843</v>
      </c>
      <c r="B2758" s="2" t="s">
        <v>2842</v>
      </c>
      <c r="C2758" s="2" t="s">
        <v>46</v>
      </c>
      <c r="D2758" s="3">
        <v>1596</v>
      </c>
      <c r="E2758" s="4" t="s">
        <v>20</v>
      </c>
      <c r="F2758" s="5">
        <v>3.81</v>
      </c>
      <c r="G2758" s="4" t="s">
        <v>21</v>
      </c>
      <c r="H2758" s="6">
        <f t="shared" si="43"/>
        <v>6080.76</v>
      </c>
    </row>
    <row r="2759" spans="1:8" x14ac:dyDescent="0.2">
      <c r="A2759" s="2" t="s">
        <v>2844</v>
      </c>
      <c r="B2759" s="2" t="s">
        <v>2842</v>
      </c>
      <c r="C2759" s="2" t="s">
        <v>89</v>
      </c>
      <c r="D2759" s="3">
        <v>4178</v>
      </c>
      <c r="E2759" s="4" t="s">
        <v>30</v>
      </c>
      <c r="F2759" s="5">
        <v>2.11</v>
      </c>
      <c r="G2759" s="4" t="s">
        <v>31</v>
      </c>
      <c r="H2759" s="6">
        <f t="shared" si="43"/>
        <v>8815.58</v>
      </c>
    </row>
    <row r="2760" spans="1:8" x14ac:dyDescent="0.2">
      <c r="A2760" s="2" t="s">
        <v>2845</v>
      </c>
      <c r="B2760" s="2" t="s">
        <v>2842</v>
      </c>
      <c r="C2760" s="2" t="s">
        <v>52</v>
      </c>
      <c r="D2760" s="3">
        <v>3953</v>
      </c>
      <c r="E2760" s="4" t="s">
        <v>53</v>
      </c>
      <c r="F2760" s="5">
        <v>12.62</v>
      </c>
      <c r="G2760" s="4" t="s">
        <v>54</v>
      </c>
      <c r="H2760" s="6">
        <f t="shared" si="43"/>
        <v>49886.859999999993</v>
      </c>
    </row>
    <row r="2761" spans="1:8" x14ac:dyDescent="0.2">
      <c r="A2761" s="2" t="s">
        <v>2846</v>
      </c>
      <c r="B2761" s="2" t="s">
        <v>2842</v>
      </c>
      <c r="C2761" s="2" t="s">
        <v>23</v>
      </c>
      <c r="D2761" s="3">
        <v>1533</v>
      </c>
      <c r="E2761" s="4" t="s">
        <v>24</v>
      </c>
      <c r="F2761" s="5">
        <v>13.46</v>
      </c>
      <c r="G2761" s="4" t="s">
        <v>25</v>
      </c>
      <c r="H2761" s="6">
        <f t="shared" si="43"/>
        <v>20634.18</v>
      </c>
    </row>
    <row r="2762" spans="1:8" x14ac:dyDescent="0.2">
      <c r="A2762" s="2" t="s">
        <v>2847</v>
      </c>
      <c r="B2762" s="2" t="s">
        <v>2842</v>
      </c>
      <c r="C2762" s="2" t="s">
        <v>37</v>
      </c>
      <c r="D2762" s="3">
        <v>505</v>
      </c>
      <c r="E2762" s="4" t="s">
        <v>38</v>
      </c>
      <c r="F2762" s="5">
        <v>2.38</v>
      </c>
      <c r="G2762" s="4" t="s">
        <v>39</v>
      </c>
      <c r="H2762" s="6">
        <f t="shared" si="43"/>
        <v>1201.8999999999999</v>
      </c>
    </row>
    <row r="2763" spans="1:8" x14ac:dyDescent="0.2">
      <c r="A2763" s="2" t="s">
        <v>2848</v>
      </c>
      <c r="B2763" s="2" t="s">
        <v>2842</v>
      </c>
      <c r="C2763" s="2" t="s">
        <v>46</v>
      </c>
      <c r="D2763" s="3">
        <v>3580</v>
      </c>
      <c r="E2763" s="4" t="s">
        <v>20</v>
      </c>
      <c r="F2763" s="5">
        <v>3.03</v>
      </c>
      <c r="G2763" s="4" t="s">
        <v>21</v>
      </c>
      <c r="H2763" s="6">
        <f t="shared" si="43"/>
        <v>10847.4</v>
      </c>
    </row>
    <row r="2764" spans="1:8" x14ac:dyDescent="0.2">
      <c r="A2764" s="2" t="s">
        <v>2849</v>
      </c>
      <c r="B2764" s="2" t="s">
        <v>2842</v>
      </c>
      <c r="C2764" s="2" t="s">
        <v>19</v>
      </c>
      <c r="D2764" s="3">
        <v>2559</v>
      </c>
      <c r="E2764" s="4" t="s">
        <v>20</v>
      </c>
      <c r="F2764" s="5">
        <v>1.45</v>
      </c>
      <c r="G2764" s="4" t="s">
        <v>21</v>
      </c>
      <c r="H2764" s="6">
        <f t="shared" si="43"/>
        <v>3710.5499999999997</v>
      </c>
    </row>
    <row r="2765" spans="1:8" x14ac:dyDescent="0.2">
      <c r="A2765" s="2" t="s">
        <v>2850</v>
      </c>
      <c r="B2765" s="2" t="s">
        <v>2842</v>
      </c>
      <c r="C2765" s="2" t="s">
        <v>29</v>
      </c>
      <c r="D2765" s="3">
        <v>1202</v>
      </c>
      <c r="E2765" s="4" t="s">
        <v>30</v>
      </c>
      <c r="F2765" s="5">
        <v>1.18</v>
      </c>
      <c r="G2765" s="4" t="s">
        <v>31</v>
      </c>
      <c r="H2765" s="6">
        <f t="shared" si="43"/>
        <v>1418.36</v>
      </c>
    </row>
    <row r="2766" spans="1:8" x14ac:dyDescent="0.2">
      <c r="A2766" s="2" t="s">
        <v>2851</v>
      </c>
      <c r="B2766" s="2" t="s">
        <v>2842</v>
      </c>
      <c r="C2766" s="2" t="s">
        <v>71</v>
      </c>
      <c r="D2766" s="3">
        <v>4952</v>
      </c>
      <c r="E2766" s="4" t="s">
        <v>72</v>
      </c>
      <c r="F2766" s="5">
        <v>2605.7399999999998</v>
      </c>
      <c r="G2766" s="4" t="s">
        <v>73</v>
      </c>
      <c r="H2766" s="6">
        <f t="shared" si="43"/>
        <v>12903624.479999999</v>
      </c>
    </row>
    <row r="2767" spans="1:8" x14ac:dyDescent="0.2">
      <c r="A2767" s="2" t="s">
        <v>2852</v>
      </c>
      <c r="B2767" s="2" t="s">
        <v>2842</v>
      </c>
      <c r="C2767" s="2" t="s">
        <v>19</v>
      </c>
      <c r="D2767" s="3">
        <v>76</v>
      </c>
      <c r="E2767" s="4" t="s">
        <v>20</v>
      </c>
      <c r="F2767" s="5">
        <v>1.41</v>
      </c>
      <c r="G2767" s="4" t="s">
        <v>21</v>
      </c>
      <c r="H2767" s="6">
        <f t="shared" si="43"/>
        <v>107.16</v>
      </c>
    </row>
    <row r="2768" spans="1:8" x14ac:dyDescent="0.2">
      <c r="A2768" s="2" t="s">
        <v>2853</v>
      </c>
      <c r="B2768" s="2" t="s">
        <v>2842</v>
      </c>
      <c r="C2768" s="2" t="s">
        <v>89</v>
      </c>
      <c r="D2768" s="3">
        <v>479</v>
      </c>
      <c r="E2768" s="4" t="s">
        <v>30</v>
      </c>
      <c r="F2768" s="5">
        <v>2.08</v>
      </c>
      <c r="G2768" s="4" t="s">
        <v>31</v>
      </c>
      <c r="H2768" s="6">
        <f t="shared" si="43"/>
        <v>996.32</v>
      </c>
    </row>
    <row r="2769" spans="1:8" x14ac:dyDescent="0.2">
      <c r="A2769" s="2" t="s">
        <v>2854</v>
      </c>
      <c r="B2769" s="2" t="s">
        <v>2842</v>
      </c>
      <c r="C2769" s="2" t="s">
        <v>29</v>
      </c>
      <c r="D2769" s="3">
        <v>457</v>
      </c>
      <c r="E2769" s="4" t="s">
        <v>30</v>
      </c>
      <c r="F2769" s="5">
        <v>1.51</v>
      </c>
      <c r="G2769" s="4" t="s">
        <v>31</v>
      </c>
      <c r="H2769" s="6">
        <f t="shared" si="43"/>
        <v>690.07</v>
      </c>
    </row>
    <row r="2770" spans="1:8" x14ac:dyDescent="0.2">
      <c r="A2770" s="2" t="s">
        <v>2855</v>
      </c>
      <c r="B2770" s="2" t="s">
        <v>2842</v>
      </c>
      <c r="C2770" s="2" t="s">
        <v>44</v>
      </c>
      <c r="D2770" s="3">
        <v>1651</v>
      </c>
      <c r="E2770" s="4" t="s">
        <v>24</v>
      </c>
      <c r="F2770" s="5">
        <v>1.35</v>
      </c>
      <c r="G2770" s="4" t="s">
        <v>25</v>
      </c>
      <c r="H2770" s="6">
        <f t="shared" si="43"/>
        <v>2228.8500000000004</v>
      </c>
    </row>
    <row r="2771" spans="1:8" x14ac:dyDescent="0.2">
      <c r="A2771" s="2" t="s">
        <v>2856</v>
      </c>
      <c r="B2771" s="2" t="s">
        <v>2842</v>
      </c>
      <c r="C2771" s="2" t="s">
        <v>44</v>
      </c>
      <c r="D2771" s="3">
        <v>570</v>
      </c>
      <c r="E2771" s="4" t="s">
        <v>24</v>
      </c>
      <c r="F2771" s="5">
        <v>1.1399999999999999</v>
      </c>
      <c r="G2771" s="4" t="s">
        <v>25</v>
      </c>
      <c r="H2771" s="6">
        <f t="shared" si="43"/>
        <v>649.79999999999995</v>
      </c>
    </row>
    <row r="2772" spans="1:8" x14ac:dyDescent="0.2">
      <c r="A2772" s="2" t="s">
        <v>2857</v>
      </c>
      <c r="B2772" s="2" t="s">
        <v>2842</v>
      </c>
      <c r="C2772" s="2" t="s">
        <v>48</v>
      </c>
      <c r="D2772" s="3">
        <v>3838</v>
      </c>
      <c r="E2772" s="4" t="s">
        <v>24</v>
      </c>
      <c r="F2772" s="5">
        <v>0.14000000000000001</v>
      </c>
      <c r="G2772" s="4" t="s">
        <v>25</v>
      </c>
      <c r="H2772" s="6">
        <f t="shared" si="43"/>
        <v>537.32000000000005</v>
      </c>
    </row>
    <row r="2773" spans="1:8" x14ac:dyDescent="0.2">
      <c r="A2773" s="2" t="s">
        <v>2858</v>
      </c>
      <c r="B2773" s="2" t="s">
        <v>2842</v>
      </c>
      <c r="C2773" s="2" t="s">
        <v>57</v>
      </c>
      <c r="D2773" s="3">
        <v>4748</v>
      </c>
      <c r="E2773" s="4" t="s">
        <v>20</v>
      </c>
      <c r="F2773" s="5">
        <v>0.83</v>
      </c>
      <c r="G2773" s="4" t="s">
        <v>21</v>
      </c>
      <c r="H2773" s="6">
        <f t="shared" si="43"/>
        <v>3940.8399999999997</v>
      </c>
    </row>
    <row r="2774" spans="1:8" x14ac:dyDescent="0.2">
      <c r="A2774" s="2" t="s">
        <v>2859</v>
      </c>
      <c r="B2774" s="2" t="s">
        <v>2842</v>
      </c>
      <c r="C2774" s="2" t="s">
        <v>57</v>
      </c>
      <c r="D2774" s="3">
        <v>2464</v>
      </c>
      <c r="E2774" s="4" t="s">
        <v>20</v>
      </c>
      <c r="F2774" s="5">
        <v>0.77</v>
      </c>
      <c r="G2774" s="4" t="s">
        <v>21</v>
      </c>
      <c r="H2774" s="6">
        <f t="shared" si="43"/>
        <v>1897.28</v>
      </c>
    </row>
    <row r="2775" spans="1:8" x14ac:dyDescent="0.2">
      <c r="A2775" s="2" t="s">
        <v>2860</v>
      </c>
      <c r="B2775" s="2" t="s">
        <v>2842</v>
      </c>
      <c r="C2775" s="2" t="s">
        <v>118</v>
      </c>
      <c r="D2775" s="3">
        <v>868</v>
      </c>
      <c r="E2775" s="4" t="s">
        <v>24</v>
      </c>
      <c r="F2775" s="5">
        <v>0.72</v>
      </c>
      <c r="G2775" s="4" t="s">
        <v>25</v>
      </c>
      <c r="H2775" s="6">
        <f t="shared" si="43"/>
        <v>624.95999999999992</v>
      </c>
    </row>
    <row r="2776" spans="1:8" x14ac:dyDescent="0.2">
      <c r="A2776" s="2" t="s">
        <v>2861</v>
      </c>
      <c r="B2776" s="2" t="s">
        <v>2842</v>
      </c>
      <c r="C2776" s="2" t="s">
        <v>37</v>
      </c>
      <c r="D2776" s="3">
        <v>4072</v>
      </c>
      <c r="E2776" s="4" t="s">
        <v>38</v>
      </c>
      <c r="F2776" s="5">
        <v>2.66</v>
      </c>
      <c r="G2776" s="4" t="s">
        <v>39</v>
      </c>
      <c r="H2776" s="6">
        <f t="shared" si="43"/>
        <v>10831.52</v>
      </c>
    </row>
    <row r="2777" spans="1:8" x14ac:dyDescent="0.2">
      <c r="A2777" s="2" t="s">
        <v>2862</v>
      </c>
      <c r="B2777" s="2" t="s">
        <v>2842</v>
      </c>
      <c r="C2777" s="2" t="s">
        <v>33</v>
      </c>
      <c r="D2777" s="3">
        <v>1837</v>
      </c>
      <c r="E2777" s="4" t="s">
        <v>34</v>
      </c>
      <c r="F2777" s="5">
        <v>5.23</v>
      </c>
      <c r="G2777" s="4" t="s">
        <v>35</v>
      </c>
      <c r="H2777" s="6">
        <f t="shared" si="43"/>
        <v>9607.51</v>
      </c>
    </row>
    <row r="2778" spans="1:8" x14ac:dyDescent="0.2">
      <c r="A2778" s="2" t="s">
        <v>2863</v>
      </c>
      <c r="B2778" s="2" t="s">
        <v>2842</v>
      </c>
      <c r="C2778" s="2" t="s">
        <v>23</v>
      </c>
      <c r="D2778" s="3">
        <v>1756</v>
      </c>
      <c r="E2778" s="4" t="s">
        <v>24</v>
      </c>
      <c r="F2778" s="5">
        <v>13.43</v>
      </c>
      <c r="G2778" s="4" t="s">
        <v>25</v>
      </c>
      <c r="H2778" s="6">
        <f t="shared" si="43"/>
        <v>23583.079999999998</v>
      </c>
    </row>
    <row r="2779" spans="1:8" x14ac:dyDescent="0.2">
      <c r="A2779" s="2" t="s">
        <v>2864</v>
      </c>
      <c r="B2779" s="2" t="s">
        <v>2842</v>
      </c>
      <c r="C2779" s="2" t="s">
        <v>57</v>
      </c>
      <c r="D2779" s="3">
        <v>3089</v>
      </c>
      <c r="E2779" s="4" t="s">
        <v>20</v>
      </c>
      <c r="F2779" s="5">
        <v>0.68</v>
      </c>
      <c r="G2779" s="4" t="s">
        <v>21</v>
      </c>
      <c r="H2779" s="6">
        <f t="shared" si="43"/>
        <v>2100.52</v>
      </c>
    </row>
    <row r="2780" spans="1:8" x14ac:dyDescent="0.2">
      <c r="A2780" s="2" t="s">
        <v>2865</v>
      </c>
      <c r="B2780" s="2" t="s">
        <v>2842</v>
      </c>
      <c r="C2780" s="2" t="s">
        <v>118</v>
      </c>
      <c r="D2780" s="3">
        <v>65</v>
      </c>
      <c r="E2780" s="4" t="s">
        <v>24</v>
      </c>
      <c r="F2780" s="5">
        <v>0.65</v>
      </c>
      <c r="G2780" s="4" t="s">
        <v>25</v>
      </c>
      <c r="H2780" s="6">
        <f t="shared" si="43"/>
        <v>42.25</v>
      </c>
    </row>
    <row r="2781" spans="1:8" x14ac:dyDescent="0.2">
      <c r="A2781" s="2" t="s">
        <v>2866</v>
      </c>
      <c r="B2781" s="2" t="s">
        <v>2842</v>
      </c>
      <c r="C2781" s="2" t="s">
        <v>27</v>
      </c>
      <c r="D2781" s="3">
        <v>2941</v>
      </c>
      <c r="E2781" s="4" t="s">
        <v>20</v>
      </c>
      <c r="F2781" s="5">
        <v>1.24</v>
      </c>
      <c r="G2781" s="4" t="s">
        <v>21</v>
      </c>
      <c r="H2781" s="6">
        <f t="shared" si="43"/>
        <v>3646.84</v>
      </c>
    </row>
    <row r="2782" spans="1:8" x14ac:dyDescent="0.2">
      <c r="A2782" s="2" t="s">
        <v>2867</v>
      </c>
      <c r="B2782" s="2" t="s">
        <v>2842</v>
      </c>
      <c r="C2782" s="2" t="s">
        <v>50</v>
      </c>
      <c r="D2782" s="3">
        <v>1176</v>
      </c>
      <c r="E2782" s="4" t="s">
        <v>20</v>
      </c>
      <c r="F2782" s="5">
        <v>0.87</v>
      </c>
      <c r="G2782" s="4" t="s">
        <v>21</v>
      </c>
      <c r="H2782" s="6">
        <f t="shared" si="43"/>
        <v>1023.12</v>
      </c>
    </row>
    <row r="2783" spans="1:8" x14ac:dyDescent="0.2">
      <c r="A2783" s="2" t="s">
        <v>2868</v>
      </c>
      <c r="B2783" s="2" t="s">
        <v>2842</v>
      </c>
      <c r="C2783" s="2" t="s">
        <v>44</v>
      </c>
      <c r="D2783" s="3">
        <v>4807</v>
      </c>
      <c r="E2783" s="4" t="s">
        <v>24</v>
      </c>
      <c r="F2783" s="5">
        <v>1.54</v>
      </c>
      <c r="G2783" s="4" t="s">
        <v>25</v>
      </c>
      <c r="H2783" s="6">
        <f t="shared" si="43"/>
        <v>7402.78</v>
      </c>
    </row>
    <row r="2784" spans="1:8" x14ac:dyDescent="0.2">
      <c r="A2784" s="2" t="s">
        <v>2869</v>
      </c>
      <c r="B2784" s="2" t="s">
        <v>2842</v>
      </c>
      <c r="C2784" s="2" t="s">
        <v>19</v>
      </c>
      <c r="D2784" s="3">
        <v>369</v>
      </c>
      <c r="E2784" s="4" t="s">
        <v>20</v>
      </c>
      <c r="F2784" s="5">
        <v>1.69</v>
      </c>
      <c r="G2784" s="4" t="s">
        <v>21</v>
      </c>
      <c r="H2784" s="6">
        <f t="shared" si="43"/>
        <v>623.61</v>
      </c>
    </row>
    <row r="2785" spans="1:8" x14ac:dyDescent="0.2">
      <c r="A2785" s="2" t="s">
        <v>2870</v>
      </c>
      <c r="B2785" s="2" t="s">
        <v>2842</v>
      </c>
      <c r="C2785" s="2" t="s">
        <v>44</v>
      </c>
      <c r="D2785" s="3">
        <v>1630</v>
      </c>
      <c r="E2785" s="4" t="s">
        <v>24</v>
      </c>
      <c r="F2785" s="5">
        <v>1.1000000000000001</v>
      </c>
      <c r="G2785" s="4" t="s">
        <v>25</v>
      </c>
      <c r="H2785" s="6">
        <f t="shared" si="43"/>
        <v>1793.0000000000002</v>
      </c>
    </row>
    <row r="2786" spans="1:8" x14ac:dyDescent="0.2">
      <c r="A2786" s="2" t="s">
        <v>2871</v>
      </c>
      <c r="B2786" s="2" t="s">
        <v>2842</v>
      </c>
      <c r="C2786" s="2" t="s">
        <v>42</v>
      </c>
      <c r="D2786" s="3">
        <v>2156</v>
      </c>
      <c r="E2786" s="4" t="s">
        <v>24</v>
      </c>
      <c r="F2786" s="5">
        <v>5.66</v>
      </c>
      <c r="G2786" s="4" t="s">
        <v>25</v>
      </c>
      <c r="H2786" s="6">
        <f t="shared" si="43"/>
        <v>12202.960000000001</v>
      </c>
    </row>
    <row r="2787" spans="1:8" x14ac:dyDescent="0.2">
      <c r="A2787" s="2" t="s">
        <v>2872</v>
      </c>
      <c r="B2787" s="2" t="s">
        <v>2842</v>
      </c>
      <c r="C2787" s="2" t="s">
        <v>57</v>
      </c>
      <c r="D2787" s="3">
        <v>4552</v>
      </c>
      <c r="E2787" s="4" t="s">
        <v>20</v>
      </c>
      <c r="F2787" s="5">
        <v>0.7</v>
      </c>
      <c r="G2787" s="4" t="s">
        <v>21</v>
      </c>
      <c r="H2787" s="6">
        <f t="shared" si="43"/>
        <v>3186.3999999999996</v>
      </c>
    </row>
    <row r="2788" spans="1:8" x14ac:dyDescent="0.2">
      <c r="A2788" s="2" t="s">
        <v>2873</v>
      </c>
      <c r="B2788" s="2" t="s">
        <v>2842</v>
      </c>
      <c r="C2788" s="2" t="s">
        <v>44</v>
      </c>
      <c r="D2788" s="3">
        <v>186</v>
      </c>
      <c r="E2788" s="4" t="s">
        <v>24</v>
      </c>
      <c r="F2788" s="5">
        <v>1.02</v>
      </c>
      <c r="G2788" s="4" t="s">
        <v>25</v>
      </c>
      <c r="H2788" s="6">
        <f t="shared" si="43"/>
        <v>189.72</v>
      </c>
    </row>
    <row r="2789" spans="1:8" x14ac:dyDescent="0.2">
      <c r="A2789" s="2" t="s">
        <v>2874</v>
      </c>
      <c r="B2789" s="2" t="s">
        <v>2842</v>
      </c>
      <c r="C2789" s="2" t="s">
        <v>86</v>
      </c>
      <c r="D2789" s="3">
        <v>838</v>
      </c>
      <c r="E2789" s="4" t="s">
        <v>72</v>
      </c>
      <c r="F2789" s="5">
        <v>7829.39</v>
      </c>
      <c r="G2789" s="4" t="s">
        <v>73</v>
      </c>
      <c r="H2789" s="6">
        <f t="shared" si="43"/>
        <v>6561028.8200000003</v>
      </c>
    </row>
    <row r="2790" spans="1:8" x14ac:dyDescent="0.2">
      <c r="A2790" s="2" t="s">
        <v>2875</v>
      </c>
      <c r="B2790" s="2" t="s">
        <v>2842</v>
      </c>
      <c r="C2790" s="2" t="s">
        <v>89</v>
      </c>
      <c r="D2790" s="3">
        <v>3114</v>
      </c>
      <c r="E2790" s="4" t="s">
        <v>30</v>
      </c>
      <c r="F2790" s="5">
        <v>2.59</v>
      </c>
      <c r="G2790" s="4" t="s">
        <v>31</v>
      </c>
      <c r="H2790" s="6">
        <f t="shared" si="43"/>
        <v>8065.2599999999993</v>
      </c>
    </row>
    <row r="2791" spans="1:8" x14ac:dyDescent="0.2">
      <c r="A2791" s="2" t="s">
        <v>2876</v>
      </c>
      <c r="B2791" s="2" t="s">
        <v>2842</v>
      </c>
      <c r="C2791" s="2" t="s">
        <v>50</v>
      </c>
      <c r="D2791" s="3">
        <v>2782</v>
      </c>
      <c r="E2791" s="4" t="s">
        <v>20</v>
      </c>
      <c r="F2791" s="5">
        <v>1.26</v>
      </c>
      <c r="G2791" s="4" t="s">
        <v>21</v>
      </c>
      <c r="H2791" s="6">
        <f t="shared" si="43"/>
        <v>3505.32</v>
      </c>
    </row>
    <row r="2792" spans="1:8" x14ac:dyDescent="0.2">
      <c r="A2792" s="2" t="s">
        <v>2877</v>
      </c>
      <c r="B2792" s="2" t="s">
        <v>2842</v>
      </c>
      <c r="C2792" s="2" t="s">
        <v>71</v>
      </c>
      <c r="D2792" s="3">
        <v>3747</v>
      </c>
      <c r="E2792" s="4" t="s">
        <v>72</v>
      </c>
      <c r="F2792" s="5">
        <v>2544.09</v>
      </c>
      <c r="G2792" s="4" t="s">
        <v>73</v>
      </c>
      <c r="H2792" s="6">
        <f t="shared" si="43"/>
        <v>9532705.2300000004</v>
      </c>
    </row>
    <row r="2793" spans="1:8" x14ac:dyDescent="0.2">
      <c r="A2793" s="2" t="s">
        <v>2878</v>
      </c>
      <c r="B2793" s="2" t="s">
        <v>2842</v>
      </c>
      <c r="C2793" s="2" t="s">
        <v>19</v>
      </c>
      <c r="D2793" s="3">
        <v>1413</v>
      </c>
      <c r="E2793" s="4" t="s">
        <v>20</v>
      </c>
      <c r="F2793" s="5">
        <v>1.66</v>
      </c>
      <c r="G2793" s="4" t="s">
        <v>21</v>
      </c>
      <c r="H2793" s="6">
        <f t="shared" si="43"/>
        <v>2345.58</v>
      </c>
    </row>
    <row r="2794" spans="1:8" x14ac:dyDescent="0.2">
      <c r="A2794" s="2" t="s">
        <v>2879</v>
      </c>
      <c r="B2794" s="2" t="s">
        <v>2842</v>
      </c>
      <c r="C2794" s="2" t="s">
        <v>147</v>
      </c>
      <c r="D2794" s="3">
        <v>3563</v>
      </c>
      <c r="E2794" s="4" t="s">
        <v>53</v>
      </c>
      <c r="F2794" s="5">
        <v>15.03</v>
      </c>
      <c r="G2794" s="4" t="s">
        <v>54</v>
      </c>
      <c r="H2794" s="6">
        <f t="shared" si="43"/>
        <v>53551.89</v>
      </c>
    </row>
    <row r="2795" spans="1:8" x14ac:dyDescent="0.2">
      <c r="A2795" s="2" t="s">
        <v>2880</v>
      </c>
      <c r="B2795" s="2" t="s">
        <v>2842</v>
      </c>
      <c r="C2795" s="2" t="s">
        <v>27</v>
      </c>
      <c r="D2795" s="3">
        <v>980</v>
      </c>
      <c r="E2795" s="4" t="s">
        <v>20</v>
      </c>
      <c r="F2795" s="5">
        <v>1.37</v>
      </c>
      <c r="G2795" s="4" t="s">
        <v>21</v>
      </c>
      <c r="H2795" s="6">
        <f t="shared" si="43"/>
        <v>1342.6000000000001</v>
      </c>
    </row>
    <row r="2796" spans="1:8" x14ac:dyDescent="0.2">
      <c r="A2796" s="2" t="s">
        <v>2881</v>
      </c>
      <c r="B2796" s="2" t="s">
        <v>2842</v>
      </c>
      <c r="C2796" s="2" t="s">
        <v>89</v>
      </c>
      <c r="D2796" s="3">
        <v>1563</v>
      </c>
      <c r="E2796" s="4" t="s">
        <v>30</v>
      </c>
      <c r="F2796" s="5">
        <v>2.0299999999999998</v>
      </c>
      <c r="G2796" s="4" t="s">
        <v>31</v>
      </c>
      <c r="H2796" s="6">
        <f t="shared" si="43"/>
        <v>3172.89</v>
      </c>
    </row>
    <row r="2797" spans="1:8" x14ac:dyDescent="0.2">
      <c r="A2797" s="2" t="s">
        <v>2882</v>
      </c>
      <c r="B2797" s="2" t="s">
        <v>2842</v>
      </c>
      <c r="C2797" s="2" t="s">
        <v>67</v>
      </c>
      <c r="D2797" s="3">
        <v>3075</v>
      </c>
      <c r="E2797" s="4" t="s">
        <v>24</v>
      </c>
      <c r="F2797" s="5">
        <v>0.4</v>
      </c>
      <c r="G2797" s="4" t="s">
        <v>25</v>
      </c>
      <c r="H2797" s="6">
        <f t="shared" si="43"/>
        <v>1230</v>
      </c>
    </row>
    <row r="2798" spans="1:8" x14ac:dyDescent="0.2">
      <c r="A2798" s="2" t="s">
        <v>2883</v>
      </c>
      <c r="B2798" s="2" t="s">
        <v>2842</v>
      </c>
      <c r="C2798" s="2" t="s">
        <v>52</v>
      </c>
      <c r="D2798" s="3">
        <v>2013</v>
      </c>
      <c r="E2798" s="4" t="s">
        <v>53</v>
      </c>
      <c r="F2798" s="5">
        <v>13.61</v>
      </c>
      <c r="G2798" s="4" t="s">
        <v>54</v>
      </c>
      <c r="H2798" s="6">
        <f t="shared" si="43"/>
        <v>27396.93</v>
      </c>
    </row>
    <row r="2799" spans="1:8" x14ac:dyDescent="0.2">
      <c r="A2799" s="2" t="s">
        <v>2884</v>
      </c>
      <c r="B2799" s="2" t="s">
        <v>2842</v>
      </c>
      <c r="C2799" s="2" t="s">
        <v>147</v>
      </c>
      <c r="D2799" s="3">
        <v>4821</v>
      </c>
      <c r="E2799" s="4" t="s">
        <v>53</v>
      </c>
      <c r="F2799" s="5">
        <v>9.51</v>
      </c>
      <c r="G2799" s="4" t="s">
        <v>54</v>
      </c>
      <c r="H2799" s="6">
        <f t="shared" si="43"/>
        <v>45847.71</v>
      </c>
    </row>
    <row r="2800" spans="1:8" x14ac:dyDescent="0.2">
      <c r="A2800" s="2" t="s">
        <v>2885</v>
      </c>
      <c r="B2800" s="2" t="s">
        <v>2842</v>
      </c>
      <c r="C2800" s="2" t="s">
        <v>29</v>
      </c>
      <c r="D2800" s="3">
        <v>2419</v>
      </c>
      <c r="E2800" s="4" t="s">
        <v>30</v>
      </c>
      <c r="F2800" s="5">
        <v>1.95</v>
      </c>
      <c r="G2800" s="4" t="s">
        <v>31</v>
      </c>
      <c r="H2800" s="6">
        <f t="shared" si="43"/>
        <v>4717.05</v>
      </c>
    </row>
    <row r="2801" spans="1:8" x14ac:dyDescent="0.2">
      <c r="A2801" s="2" t="s">
        <v>2886</v>
      </c>
      <c r="B2801" s="2" t="s">
        <v>2842</v>
      </c>
      <c r="C2801" s="2" t="s">
        <v>57</v>
      </c>
      <c r="D2801" s="3">
        <v>2034</v>
      </c>
      <c r="E2801" s="4" t="s">
        <v>20</v>
      </c>
      <c r="F2801" s="5">
        <v>0.62</v>
      </c>
      <c r="G2801" s="4" t="s">
        <v>21</v>
      </c>
      <c r="H2801" s="6">
        <f t="shared" si="43"/>
        <v>1261.08</v>
      </c>
    </row>
    <row r="2802" spans="1:8" x14ac:dyDescent="0.2">
      <c r="A2802" s="2" t="s">
        <v>2887</v>
      </c>
      <c r="B2802" s="2" t="s">
        <v>2842</v>
      </c>
      <c r="C2802" s="2" t="s">
        <v>86</v>
      </c>
      <c r="D2802" s="3">
        <v>1045</v>
      </c>
      <c r="E2802" s="4" t="s">
        <v>72</v>
      </c>
      <c r="F2802" s="5">
        <v>8992.1</v>
      </c>
      <c r="G2802" s="4" t="s">
        <v>73</v>
      </c>
      <c r="H2802" s="6">
        <f t="shared" si="43"/>
        <v>9396744.5</v>
      </c>
    </row>
    <row r="2803" spans="1:8" x14ac:dyDescent="0.2">
      <c r="A2803" s="2" t="s">
        <v>2888</v>
      </c>
      <c r="B2803" s="2" t="s">
        <v>2842</v>
      </c>
      <c r="C2803" s="2" t="s">
        <v>46</v>
      </c>
      <c r="D2803" s="3">
        <v>4015</v>
      </c>
      <c r="E2803" s="4" t="s">
        <v>20</v>
      </c>
      <c r="F2803" s="5">
        <v>2.42</v>
      </c>
      <c r="G2803" s="4" t="s">
        <v>21</v>
      </c>
      <c r="H2803" s="6">
        <f t="shared" si="43"/>
        <v>9716.2999999999993</v>
      </c>
    </row>
    <row r="2804" spans="1:8" x14ac:dyDescent="0.2">
      <c r="A2804" s="2" t="s">
        <v>2889</v>
      </c>
      <c r="B2804" s="2" t="s">
        <v>2842</v>
      </c>
      <c r="C2804" s="2" t="s">
        <v>27</v>
      </c>
      <c r="D2804" s="3">
        <v>3865</v>
      </c>
      <c r="E2804" s="4" t="s">
        <v>20</v>
      </c>
      <c r="F2804" s="5">
        <v>2.15</v>
      </c>
      <c r="G2804" s="4" t="s">
        <v>21</v>
      </c>
      <c r="H2804" s="6">
        <f t="shared" si="43"/>
        <v>8309.75</v>
      </c>
    </row>
    <row r="2805" spans="1:8" x14ac:dyDescent="0.2">
      <c r="A2805" s="2" t="s">
        <v>2890</v>
      </c>
      <c r="B2805" s="2" t="s">
        <v>2842</v>
      </c>
      <c r="C2805" s="2" t="s">
        <v>147</v>
      </c>
      <c r="D2805" s="3">
        <v>541</v>
      </c>
      <c r="E2805" s="4" t="s">
        <v>53</v>
      </c>
      <c r="F2805" s="5">
        <v>9.34</v>
      </c>
      <c r="G2805" s="4" t="s">
        <v>54</v>
      </c>
      <c r="H2805" s="6">
        <f t="shared" si="43"/>
        <v>5052.9399999999996</v>
      </c>
    </row>
    <row r="2806" spans="1:8" x14ac:dyDescent="0.2">
      <c r="A2806" s="2" t="s">
        <v>2891</v>
      </c>
      <c r="B2806" s="2" t="s">
        <v>2842</v>
      </c>
      <c r="C2806" s="2" t="s">
        <v>67</v>
      </c>
      <c r="D2806" s="3">
        <v>4181</v>
      </c>
      <c r="E2806" s="4" t="s">
        <v>24</v>
      </c>
      <c r="F2806" s="5">
        <v>0.41</v>
      </c>
      <c r="G2806" s="4" t="s">
        <v>25</v>
      </c>
      <c r="H2806" s="6">
        <f t="shared" si="43"/>
        <v>1714.2099999999998</v>
      </c>
    </row>
    <row r="2807" spans="1:8" x14ac:dyDescent="0.2">
      <c r="A2807" s="2" t="s">
        <v>2892</v>
      </c>
      <c r="B2807" s="2" t="s">
        <v>2842</v>
      </c>
      <c r="C2807" s="2" t="s">
        <v>78</v>
      </c>
      <c r="D2807" s="3">
        <v>3813</v>
      </c>
      <c r="E2807" s="4" t="s">
        <v>38</v>
      </c>
      <c r="F2807" s="5">
        <v>1.8</v>
      </c>
      <c r="G2807" s="4" t="s">
        <v>39</v>
      </c>
      <c r="H2807" s="6">
        <f t="shared" si="43"/>
        <v>6863.4000000000005</v>
      </c>
    </row>
    <row r="2808" spans="1:8" x14ac:dyDescent="0.2">
      <c r="A2808" s="2" t="s">
        <v>2893</v>
      </c>
      <c r="B2808" s="2" t="s">
        <v>2842</v>
      </c>
      <c r="C2808" s="2" t="s">
        <v>19</v>
      </c>
      <c r="D2808" s="3">
        <v>4314</v>
      </c>
      <c r="E2808" s="4" t="s">
        <v>20</v>
      </c>
      <c r="F2808" s="5">
        <v>1.52</v>
      </c>
      <c r="G2808" s="4" t="s">
        <v>21</v>
      </c>
      <c r="H2808" s="6">
        <f t="shared" si="43"/>
        <v>6557.28</v>
      </c>
    </row>
    <row r="2809" spans="1:8" x14ac:dyDescent="0.2">
      <c r="A2809" s="2" t="s">
        <v>2894</v>
      </c>
      <c r="B2809" s="2" t="s">
        <v>2842</v>
      </c>
      <c r="C2809" s="2" t="s">
        <v>48</v>
      </c>
      <c r="D2809" s="3">
        <v>3891</v>
      </c>
      <c r="E2809" s="4" t="s">
        <v>24</v>
      </c>
      <c r="F2809" s="5">
        <v>0.09</v>
      </c>
      <c r="G2809" s="4" t="s">
        <v>25</v>
      </c>
      <c r="H2809" s="6">
        <f t="shared" si="43"/>
        <v>350.19</v>
      </c>
    </row>
    <row r="2810" spans="1:8" x14ac:dyDescent="0.2">
      <c r="A2810" s="2" t="s">
        <v>2895</v>
      </c>
      <c r="B2810" s="2" t="s">
        <v>2842</v>
      </c>
      <c r="C2810" s="2" t="s">
        <v>67</v>
      </c>
      <c r="D2810" s="3">
        <v>4793</v>
      </c>
      <c r="E2810" s="4" t="s">
        <v>24</v>
      </c>
      <c r="F2810" s="5">
        <v>0.49</v>
      </c>
      <c r="G2810" s="4" t="s">
        <v>25</v>
      </c>
      <c r="H2810" s="6">
        <f t="shared" si="43"/>
        <v>2348.5700000000002</v>
      </c>
    </row>
    <row r="2811" spans="1:8" x14ac:dyDescent="0.2">
      <c r="A2811" s="2" t="s">
        <v>2896</v>
      </c>
      <c r="B2811" s="2" t="s">
        <v>2842</v>
      </c>
      <c r="C2811" s="2" t="s">
        <v>44</v>
      </c>
      <c r="D2811" s="3">
        <v>1808</v>
      </c>
      <c r="E2811" s="4" t="s">
        <v>24</v>
      </c>
      <c r="F2811" s="5">
        <v>1.53</v>
      </c>
      <c r="G2811" s="4" t="s">
        <v>25</v>
      </c>
      <c r="H2811" s="6">
        <f t="shared" si="43"/>
        <v>2766.2400000000002</v>
      </c>
    </row>
    <row r="2812" spans="1:8" x14ac:dyDescent="0.2">
      <c r="A2812" s="2" t="s">
        <v>2897</v>
      </c>
      <c r="B2812" s="2" t="s">
        <v>2842</v>
      </c>
      <c r="C2812" s="2" t="s">
        <v>23</v>
      </c>
      <c r="D2812" s="3">
        <v>1930</v>
      </c>
      <c r="E2812" s="4" t="s">
        <v>24</v>
      </c>
      <c r="F2812" s="5">
        <v>14.38</v>
      </c>
      <c r="G2812" s="4" t="s">
        <v>25</v>
      </c>
      <c r="H2812" s="6">
        <f t="shared" si="43"/>
        <v>27753.4</v>
      </c>
    </row>
    <row r="2813" spans="1:8" x14ac:dyDescent="0.2">
      <c r="A2813" s="2" t="s">
        <v>2898</v>
      </c>
      <c r="B2813" s="2" t="s">
        <v>2842</v>
      </c>
      <c r="C2813" s="2" t="s">
        <v>71</v>
      </c>
      <c r="D2813" s="3">
        <v>3491</v>
      </c>
      <c r="E2813" s="4" t="s">
        <v>72</v>
      </c>
      <c r="F2813" s="5">
        <v>2933.23</v>
      </c>
      <c r="G2813" s="4" t="s">
        <v>73</v>
      </c>
      <c r="H2813" s="6">
        <f t="shared" si="43"/>
        <v>10239905.93</v>
      </c>
    </row>
    <row r="2814" spans="1:8" x14ac:dyDescent="0.2">
      <c r="A2814" s="2" t="s">
        <v>2899</v>
      </c>
      <c r="B2814" s="2" t="s">
        <v>2842</v>
      </c>
      <c r="C2814" s="2" t="s">
        <v>46</v>
      </c>
      <c r="D2814" s="3">
        <v>1297</v>
      </c>
      <c r="E2814" s="4" t="s">
        <v>20</v>
      </c>
      <c r="F2814" s="5">
        <v>3.87</v>
      </c>
      <c r="G2814" s="4" t="s">
        <v>21</v>
      </c>
      <c r="H2814" s="6">
        <f t="shared" si="43"/>
        <v>5019.3900000000003</v>
      </c>
    </row>
    <row r="2815" spans="1:8" x14ac:dyDescent="0.2">
      <c r="A2815" s="2" t="s">
        <v>2900</v>
      </c>
      <c r="B2815" s="2" t="s">
        <v>2842</v>
      </c>
      <c r="C2815" s="2" t="s">
        <v>19</v>
      </c>
      <c r="D2815" s="3">
        <v>2095</v>
      </c>
      <c r="E2815" s="4" t="s">
        <v>20</v>
      </c>
      <c r="F2815" s="5">
        <v>1.43</v>
      </c>
      <c r="G2815" s="4" t="s">
        <v>21</v>
      </c>
      <c r="H2815" s="6">
        <f t="shared" si="43"/>
        <v>2995.85</v>
      </c>
    </row>
    <row r="2816" spans="1:8" x14ac:dyDescent="0.2">
      <c r="A2816" s="2" t="s">
        <v>2901</v>
      </c>
      <c r="B2816" s="2" t="s">
        <v>2842</v>
      </c>
      <c r="C2816" s="2" t="s">
        <v>89</v>
      </c>
      <c r="D2816" s="3">
        <v>698</v>
      </c>
      <c r="E2816" s="4" t="s">
        <v>30</v>
      </c>
      <c r="F2816" s="5">
        <v>2.15</v>
      </c>
      <c r="G2816" s="4" t="s">
        <v>31</v>
      </c>
      <c r="H2816" s="6">
        <f t="shared" si="43"/>
        <v>1500.7</v>
      </c>
    </row>
    <row r="2817" spans="1:8" x14ac:dyDescent="0.2">
      <c r="A2817" s="2" t="s">
        <v>2902</v>
      </c>
      <c r="B2817" s="2" t="s">
        <v>2842</v>
      </c>
      <c r="C2817" s="2" t="s">
        <v>78</v>
      </c>
      <c r="D2817" s="3">
        <v>2890</v>
      </c>
      <c r="E2817" s="4" t="s">
        <v>38</v>
      </c>
      <c r="F2817" s="5">
        <v>1.89</v>
      </c>
      <c r="G2817" s="4" t="s">
        <v>39</v>
      </c>
      <c r="H2817" s="6">
        <f t="shared" si="43"/>
        <v>5462.0999999999995</v>
      </c>
    </row>
    <row r="2818" spans="1:8" x14ac:dyDescent="0.2">
      <c r="A2818" s="2" t="s">
        <v>2903</v>
      </c>
      <c r="B2818" s="2" t="s">
        <v>2842</v>
      </c>
      <c r="C2818" s="2" t="s">
        <v>37</v>
      </c>
      <c r="D2818" s="3">
        <v>3821</v>
      </c>
      <c r="E2818" s="4" t="s">
        <v>38</v>
      </c>
      <c r="F2818" s="5">
        <v>3.54</v>
      </c>
      <c r="G2818" s="4" t="s">
        <v>39</v>
      </c>
      <c r="H2818" s="6">
        <f t="shared" ref="H2818:H2881" si="44">D2818*F2818</f>
        <v>13526.34</v>
      </c>
    </row>
    <row r="2819" spans="1:8" x14ac:dyDescent="0.2">
      <c r="A2819" s="2" t="s">
        <v>2904</v>
      </c>
      <c r="B2819" s="2" t="s">
        <v>2842</v>
      </c>
      <c r="C2819" s="2" t="s">
        <v>57</v>
      </c>
      <c r="D2819" s="3">
        <v>3500</v>
      </c>
      <c r="E2819" s="4" t="s">
        <v>20</v>
      </c>
      <c r="F2819" s="5">
        <v>0.78</v>
      </c>
      <c r="G2819" s="4" t="s">
        <v>21</v>
      </c>
      <c r="H2819" s="6">
        <f t="shared" si="44"/>
        <v>2730</v>
      </c>
    </row>
    <row r="2820" spans="1:8" x14ac:dyDescent="0.2">
      <c r="A2820" s="2" t="s">
        <v>2905</v>
      </c>
      <c r="B2820" s="2" t="s">
        <v>2842</v>
      </c>
      <c r="C2820" s="2" t="s">
        <v>52</v>
      </c>
      <c r="D2820" s="3">
        <v>3360</v>
      </c>
      <c r="E2820" s="4" t="s">
        <v>53</v>
      </c>
      <c r="F2820" s="5">
        <v>10.84</v>
      </c>
      <c r="G2820" s="4" t="s">
        <v>54</v>
      </c>
      <c r="H2820" s="6">
        <f t="shared" si="44"/>
        <v>36422.400000000001</v>
      </c>
    </row>
    <row r="2821" spans="1:8" x14ac:dyDescent="0.2">
      <c r="A2821" s="2" t="s">
        <v>2906</v>
      </c>
      <c r="B2821" s="2" t="s">
        <v>2842</v>
      </c>
      <c r="C2821" s="2" t="s">
        <v>48</v>
      </c>
      <c r="D2821" s="3">
        <v>2607</v>
      </c>
      <c r="E2821" s="4" t="s">
        <v>24</v>
      </c>
      <c r="F2821" s="5">
        <v>0.09</v>
      </c>
      <c r="G2821" s="4" t="s">
        <v>25</v>
      </c>
      <c r="H2821" s="6">
        <f t="shared" si="44"/>
        <v>234.63</v>
      </c>
    </row>
    <row r="2822" spans="1:8" x14ac:dyDescent="0.2">
      <c r="A2822" s="2" t="s">
        <v>2907</v>
      </c>
      <c r="B2822" s="2" t="s">
        <v>2842</v>
      </c>
      <c r="C2822" s="2" t="s">
        <v>33</v>
      </c>
      <c r="D2822" s="3">
        <v>1481</v>
      </c>
      <c r="E2822" s="4" t="s">
        <v>34</v>
      </c>
      <c r="F2822" s="5">
        <v>4.5999999999999996</v>
      </c>
      <c r="G2822" s="4" t="s">
        <v>35</v>
      </c>
      <c r="H2822" s="6">
        <f t="shared" si="44"/>
        <v>6812.5999999999995</v>
      </c>
    </row>
    <row r="2823" spans="1:8" x14ac:dyDescent="0.2">
      <c r="A2823" s="2" t="s">
        <v>2908</v>
      </c>
      <c r="B2823" s="2" t="s">
        <v>2842</v>
      </c>
      <c r="C2823" s="2" t="s">
        <v>86</v>
      </c>
      <c r="D2823" s="3">
        <v>631</v>
      </c>
      <c r="E2823" s="4" t="s">
        <v>72</v>
      </c>
      <c r="F2823" s="5">
        <v>8302.73</v>
      </c>
      <c r="G2823" s="4" t="s">
        <v>73</v>
      </c>
      <c r="H2823" s="6">
        <f t="shared" si="44"/>
        <v>5239022.63</v>
      </c>
    </row>
    <row r="2824" spans="1:8" x14ac:dyDescent="0.2">
      <c r="A2824" s="2" t="s">
        <v>2909</v>
      </c>
      <c r="B2824" s="2" t="s">
        <v>2842</v>
      </c>
      <c r="C2824" s="2" t="s">
        <v>27</v>
      </c>
      <c r="D2824" s="3">
        <v>2422</v>
      </c>
      <c r="E2824" s="4" t="s">
        <v>20</v>
      </c>
      <c r="F2824" s="5">
        <v>2.21</v>
      </c>
      <c r="G2824" s="4" t="s">
        <v>21</v>
      </c>
      <c r="H2824" s="6">
        <f t="shared" si="44"/>
        <v>5352.62</v>
      </c>
    </row>
    <row r="2825" spans="1:8" x14ac:dyDescent="0.2">
      <c r="A2825" s="2" t="s">
        <v>2910</v>
      </c>
      <c r="B2825" s="2" t="s">
        <v>2842</v>
      </c>
      <c r="C2825" s="2" t="s">
        <v>78</v>
      </c>
      <c r="D2825" s="3">
        <v>4488</v>
      </c>
      <c r="E2825" s="4" t="s">
        <v>38</v>
      </c>
      <c r="F2825" s="5">
        <v>2.59</v>
      </c>
      <c r="G2825" s="4" t="s">
        <v>39</v>
      </c>
      <c r="H2825" s="6">
        <f t="shared" si="44"/>
        <v>11623.92</v>
      </c>
    </row>
    <row r="2826" spans="1:8" x14ac:dyDescent="0.2">
      <c r="A2826" s="2" t="s">
        <v>2911</v>
      </c>
      <c r="B2826" s="2" t="s">
        <v>2842</v>
      </c>
      <c r="C2826" s="2" t="s">
        <v>86</v>
      </c>
      <c r="D2826" s="3">
        <v>1875</v>
      </c>
      <c r="E2826" s="4" t="s">
        <v>72</v>
      </c>
      <c r="F2826" s="5">
        <v>7937.77</v>
      </c>
      <c r="G2826" s="4" t="s">
        <v>73</v>
      </c>
      <c r="H2826" s="6">
        <f t="shared" si="44"/>
        <v>14883318.75</v>
      </c>
    </row>
    <row r="2827" spans="1:8" x14ac:dyDescent="0.2">
      <c r="A2827" s="2" t="s">
        <v>2912</v>
      </c>
      <c r="B2827" s="2" t="s">
        <v>2842</v>
      </c>
      <c r="C2827" s="2" t="s">
        <v>27</v>
      </c>
      <c r="D2827" s="3">
        <v>2961</v>
      </c>
      <c r="E2827" s="4" t="s">
        <v>20</v>
      </c>
      <c r="F2827" s="5">
        <v>1.25</v>
      </c>
      <c r="G2827" s="4" t="s">
        <v>21</v>
      </c>
      <c r="H2827" s="6">
        <f t="shared" si="44"/>
        <v>3701.25</v>
      </c>
    </row>
    <row r="2828" spans="1:8" x14ac:dyDescent="0.2">
      <c r="A2828" s="2" t="s">
        <v>2913</v>
      </c>
      <c r="B2828" s="2" t="s">
        <v>2842</v>
      </c>
      <c r="C2828" s="2" t="s">
        <v>44</v>
      </c>
      <c r="D2828" s="3">
        <v>2744</v>
      </c>
      <c r="E2828" s="4" t="s">
        <v>24</v>
      </c>
      <c r="F2828" s="5">
        <v>1.04</v>
      </c>
      <c r="G2828" s="4" t="s">
        <v>25</v>
      </c>
      <c r="H2828" s="6">
        <f t="shared" si="44"/>
        <v>2853.76</v>
      </c>
    </row>
    <row r="2829" spans="1:8" x14ac:dyDescent="0.2">
      <c r="A2829" s="2" t="s">
        <v>2914</v>
      </c>
      <c r="B2829" s="2" t="s">
        <v>2842</v>
      </c>
      <c r="C2829" s="2" t="s">
        <v>57</v>
      </c>
      <c r="D2829" s="3">
        <v>2058</v>
      </c>
      <c r="E2829" s="4" t="s">
        <v>20</v>
      </c>
      <c r="F2829" s="5">
        <v>0.72</v>
      </c>
      <c r="G2829" s="4" t="s">
        <v>21</v>
      </c>
      <c r="H2829" s="6">
        <f t="shared" si="44"/>
        <v>1481.76</v>
      </c>
    </row>
    <row r="2830" spans="1:8" x14ac:dyDescent="0.2">
      <c r="A2830" s="2" t="s">
        <v>2915</v>
      </c>
      <c r="B2830" s="2" t="s">
        <v>2842</v>
      </c>
      <c r="C2830" s="2" t="s">
        <v>86</v>
      </c>
      <c r="D2830" s="3">
        <v>1571</v>
      </c>
      <c r="E2830" s="4" t="s">
        <v>72</v>
      </c>
      <c r="F2830" s="5">
        <v>8787.9</v>
      </c>
      <c r="G2830" s="4" t="s">
        <v>73</v>
      </c>
      <c r="H2830" s="6">
        <f t="shared" si="44"/>
        <v>13805790.899999999</v>
      </c>
    </row>
    <row r="2831" spans="1:8" x14ac:dyDescent="0.2">
      <c r="A2831" s="2" t="s">
        <v>2916</v>
      </c>
      <c r="B2831" s="2" t="s">
        <v>2842</v>
      </c>
      <c r="C2831" s="2" t="s">
        <v>89</v>
      </c>
      <c r="D2831" s="3">
        <v>4459</v>
      </c>
      <c r="E2831" s="4" t="s">
        <v>30</v>
      </c>
      <c r="F2831" s="5">
        <v>2.89</v>
      </c>
      <c r="G2831" s="4" t="s">
        <v>31</v>
      </c>
      <c r="H2831" s="6">
        <f t="shared" si="44"/>
        <v>12886.51</v>
      </c>
    </row>
    <row r="2832" spans="1:8" x14ac:dyDescent="0.2">
      <c r="A2832" s="2" t="s">
        <v>2917</v>
      </c>
      <c r="B2832" s="2" t="s">
        <v>2842</v>
      </c>
      <c r="C2832" s="2" t="s">
        <v>33</v>
      </c>
      <c r="D2832" s="3">
        <v>2463</v>
      </c>
      <c r="E2832" s="4" t="s">
        <v>34</v>
      </c>
      <c r="F2832" s="5">
        <v>4.2</v>
      </c>
      <c r="G2832" s="4" t="s">
        <v>35</v>
      </c>
      <c r="H2832" s="6">
        <f t="shared" si="44"/>
        <v>10344.6</v>
      </c>
    </row>
    <row r="2833" spans="1:8" x14ac:dyDescent="0.2">
      <c r="A2833" s="2" t="s">
        <v>2918</v>
      </c>
      <c r="B2833" s="2" t="s">
        <v>2842</v>
      </c>
      <c r="C2833" s="2" t="s">
        <v>19</v>
      </c>
      <c r="D2833" s="3">
        <v>3318</v>
      </c>
      <c r="E2833" s="4" t="s">
        <v>20</v>
      </c>
      <c r="F2833" s="5">
        <v>1.67</v>
      </c>
      <c r="G2833" s="4" t="s">
        <v>21</v>
      </c>
      <c r="H2833" s="6">
        <f t="shared" si="44"/>
        <v>5541.0599999999995</v>
      </c>
    </row>
    <row r="2834" spans="1:8" x14ac:dyDescent="0.2">
      <c r="A2834" s="2" t="s">
        <v>2919</v>
      </c>
      <c r="B2834" s="2" t="s">
        <v>2842</v>
      </c>
      <c r="C2834" s="2" t="s">
        <v>46</v>
      </c>
      <c r="D2834" s="3">
        <v>107</v>
      </c>
      <c r="E2834" s="4" t="s">
        <v>20</v>
      </c>
      <c r="F2834" s="5">
        <v>2.94</v>
      </c>
      <c r="G2834" s="4" t="s">
        <v>21</v>
      </c>
      <c r="H2834" s="6">
        <f t="shared" si="44"/>
        <v>314.58</v>
      </c>
    </row>
    <row r="2835" spans="1:8" x14ac:dyDescent="0.2">
      <c r="A2835" s="2" t="s">
        <v>2920</v>
      </c>
      <c r="B2835" s="2" t="s">
        <v>2842</v>
      </c>
      <c r="C2835" s="2" t="s">
        <v>78</v>
      </c>
      <c r="D2835" s="3">
        <v>1232</v>
      </c>
      <c r="E2835" s="4" t="s">
        <v>38</v>
      </c>
      <c r="F2835" s="5">
        <v>2.97</v>
      </c>
      <c r="G2835" s="4" t="s">
        <v>39</v>
      </c>
      <c r="H2835" s="6">
        <f t="shared" si="44"/>
        <v>3659.0400000000004</v>
      </c>
    </row>
    <row r="2836" spans="1:8" x14ac:dyDescent="0.2">
      <c r="A2836" s="2" t="s">
        <v>2921</v>
      </c>
      <c r="B2836" s="2" t="s">
        <v>2842</v>
      </c>
      <c r="C2836" s="2" t="s">
        <v>42</v>
      </c>
      <c r="D2836" s="3">
        <v>1868</v>
      </c>
      <c r="E2836" s="4" t="s">
        <v>24</v>
      </c>
      <c r="F2836" s="5">
        <v>5.67</v>
      </c>
      <c r="G2836" s="4" t="s">
        <v>25</v>
      </c>
      <c r="H2836" s="6">
        <f t="shared" si="44"/>
        <v>10591.56</v>
      </c>
    </row>
    <row r="2837" spans="1:8" x14ac:dyDescent="0.2">
      <c r="A2837" s="2" t="s">
        <v>2922</v>
      </c>
      <c r="B2837" s="2" t="s">
        <v>2842</v>
      </c>
      <c r="C2837" s="2" t="s">
        <v>44</v>
      </c>
      <c r="D2837" s="3">
        <v>3896</v>
      </c>
      <c r="E2837" s="4" t="s">
        <v>24</v>
      </c>
      <c r="F2837" s="5">
        <v>1.06</v>
      </c>
      <c r="G2837" s="4" t="s">
        <v>25</v>
      </c>
      <c r="H2837" s="6">
        <f t="shared" si="44"/>
        <v>4129.76</v>
      </c>
    </row>
    <row r="2838" spans="1:8" x14ac:dyDescent="0.2">
      <c r="A2838" s="2" t="s">
        <v>2923</v>
      </c>
      <c r="B2838" s="2" t="s">
        <v>2842</v>
      </c>
      <c r="C2838" s="2" t="s">
        <v>46</v>
      </c>
      <c r="D2838" s="3">
        <v>4537</v>
      </c>
      <c r="E2838" s="4" t="s">
        <v>20</v>
      </c>
      <c r="F2838" s="5">
        <v>3.52</v>
      </c>
      <c r="G2838" s="4" t="s">
        <v>21</v>
      </c>
      <c r="H2838" s="6">
        <f t="shared" si="44"/>
        <v>15970.24</v>
      </c>
    </row>
    <row r="2839" spans="1:8" x14ac:dyDescent="0.2">
      <c r="A2839" s="2" t="s">
        <v>2924</v>
      </c>
      <c r="B2839" s="2" t="s">
        <v>2842</v>
      </c>
      <c r="C2839" s="2" t="s">
        <v>23</v>
      </c>
      <c r="D2839" s="3">
        <v>2800</v>
      </c>
      <c r="E2839" s="4" t="s">
        <v>24</v>
      </c>
      <c r="F2839" s="5">
        <v>16.75</v>
      </c>
      <c r="G2839" s="4" t="s">
        <v>25</v>
      </c>
      <c r="H2839" s="6">
        <f t="shared" si="44"/>
        <v>46900</v>
      </c>
    </row>
    <row r="2840" spans="1:8" x14ac:dyDescent="0.2">
      <c r="A2840" s="2" t="s">
        <v>2925</v>
      </c>
      <c r="B2840" s="2" t="s">
        <v>2842</v>
      </c>
      <c r="C2840" s="2" t="s">
        <v>57</v>
      </c>
      <c r="D2840" s="3">
        <v>1548</v>
      </c>
      <c r="E2840" s="4" t="s">
        <v>20</v>
      </c>
      <c r="F2840" s="5">
        <v>0.77</v>
      </c>
      <c r="G2840" s="4" t="s">
        <v>21</v>
      </c>
      <c r="H2840" s="6">
        <f t="shared" si="44"/>
        <v>1191.96</v>
      </c>
    </row>
    <row r="2841" spans="1:8" x14ac:dyDescent="0.2">
      <c r="A2841" s="2" t="s">
        <v>2926</v>
      </c>
      <c r="B2841" s="2" t="s">
        <v>2842</v>
      </c>
      <c r="C2841" s="2" t="s">
        <v>52</v>
      </c>
      <c r="D2841" s="3">
        <v>1726</v>
      </c>
      <c r="E2841" s="4" t="s">
        <v>53</v>
      </c>
      <c r="F2841" s="5">
        <v>11.19</v>
      </c>
      <c r="G2841" s="4" t="s">
        <v>54</v>
      </c>
      <c r="H2841" s="6">
        <f t="shared" si="44"/>
        <v>19313.939999999999</v>
      </c>
    </row>
    <row r="2842" spans="1:8" x14ac:dyDescent="0.2">
      <c r="A2842" s="2" t="s">
        <v>2927</v>
      </c>
      <c r="B2842" s="2" t="s">
        <v>2842</v>
      </c>
      <c r="C2842" s="2" t="s">
        <v>29</v>
      </c>
      <c r="D2842" s="3">
        <v>256</v>
      </c>
      <c r="E2842" s="4" t="s">
        <v>30</v>
      </c>
      <c r="F2842" s="5">
        <v>1.45</v>
      </c>
      <c r="G2842" s="4" t="s">
        <v>31</v>
      </c>
      <c r="H2842" s="6">
        <f t="shared" si="44"/>
        <v>371.2</v>
      </c>
    </row>
    <row r="2843" spans="1:8" x14ac:dyDescent="0.2">
      <c r="A2843" s="2" t="s">
        <v>2928</v>
      </c>
      <c r="B2843" s="2" t="s">
        <v>2842</v>
      </c>
      <c r="C2843" s="2" t="s">
        <v>46</v>
      </c>
      <c r="D2843" s="3">
        <v>1061</v>
      </c>
      <c r="E2843" s="4" t="s">
        <v>20</v>
      </c>
      <c r="F2843" s="5">
        <v>2.61</v>
      </c>
      <c r="G2843" s="4" t="s">
        <v>21</v>
      </c>
      <c r="H2843" s="6">
        <f t="shared" si="44"/>
        <v>2769.21</v>
      </c>
    </row>
    <row r="2844" spans="1:8" x14ac:dyDescent="0.2">
      <c r="A2844" s="2" t="s">
        <v>2929</v>
      </c>
      <c r="B2844" s="2" t="s">
        <v>2842</v>
      </c>
      <c r="C2844" s="2" t="s">
        <v>33</v>
      </c>
      <c r="D2844" s="3">
        <v>4104</v>
      </c>
      <c r="E2844" s="4" t="s">
        <v>34</v>
      </c>
      <c r="F2844" s="5">
        <v>5.53</v>
      </c>
      <c r="G2844" s="4" t="s">
        <v>35</v>
      </c>
      <c r="H2844" s="6">
        <f t="shared" si="44"/>
        <v>22695.120000000003</v>
      </c>
    </row>
    <row r="2845" spans="1:8" x14ac:dyDescent="0.2">
      <c r="A2845" s="2" t="s">
        <v>2930</v>
      </c>
      <c r="B2845" s="2" t="s">
        <v>2842</v>
      </c>
      <c r="C2845" s="2" t="s">
        <v>19</v>
      </c>
      <c r="D2845" s="3">
        <v>2793</v>
      </c>
      <c r="E2845" s="4" t="s">
        <v>20</v>
      </c>
      <c r="F2845" s="5">
        <v>1.24</v>
      </c>
      <c r="G2845" s="4" t="s">
        <v>21</v>
      </c>
      <c r="H2845" s="6">
        <f t="shared" si="44"/>
        <v>3463.32</v>
      </c>
    </row>
    <row r="2846" spans="1:8" x14ac:dyDescent="0.2">
      <c r="A2846" s="2" t="s">
        <v>2931</v>
      </c>
      <c r="B2846" s="2" t="s">
        <v>2842</v>
      </c>
      <c r="C2846" s="2" t="s">
        <v>52</v>
      </c>
      <c r="D2846" s="3">
        <v>3314</v>
      </c>
      <c r="E2846" s="4" t="s">
        <v>53</v>
      </c>
      <c r="F2846" s="5">
        <v>12.81</v>
      </c>
      <c r="G2846" s="4" t="s">
        <v>54</v>
      </c>
      <c r="H2846" s="6">
        <f t="shared" si="44"/>
        <v>42452.340000000004</v>
      </c>
    </row>
    <row r="2847" spans="1:8" x14ac:dyDescent="0.2">
      <c r="A2847" s="2" t="s">
        <v>2932</v>
      </c>
      <c r="B2847" s="2" t="s">
        <v>2842</v>
      </c>
      <c r="C2847" s="2" t="s">
        <v>29</v>
      </c>
      <c r="D2847" s="3">
        <v>2464</v>
      </c>
      <c r="E2847" s="4" t="s">
        <v>30</v>
      </c>
      <c r="F2847" s="5">
        <v>1.39</v>
      </c>
      <c r="G2847" s="4" t="s">
        <v>31</v>
      </c>
      <c r="H2847" s="6">
        <f t="shared" si="44"/>
        <v>3424.9599999999996</v>
      </c>
    </row>
    <row r="2848" spans="1:8" x14ac:dyDescent="0.2">
      <c r="A2848" s="2" t="s">
        <v>2933</v>
      </c>
      <c r="B2848" s="2" t="s">
        <v>2842</v>
      </c>
      <c r="C2848" s="2" t="s">
        <v>33</v>
      </c>
      <c r="D2848" s="3">
        <v>4659</v>
      </c>
      <c r="E2848" s="4" t="s">
        <v>34</v>
      </c>
      <c r="F2848" s="5">
        <v>5.46</v>
      </c>
      <c r="G2848" s="4" t="s">
        <v>35</v>
      </c>
      <c r="H2848" s="6">
        <f t="shared" si="44"/>
        <v>25438.14</v>
      </c>
    </row>
    <row r="2849" spans="1:8" x14ac:dyDescent="0.2">
      <c r="A2849" s="2" t="s">
        <v>2934</v>
      </c>
      <c r="B2849" s="2" t="s">
        <v>2842</v>
      </c>
      <c r="C2849" s="2" t="s">
        <v>89</v>
      </c>
      <c r="D2849" s="3">
        <v>1269</v>
      </c>
      <c r="E2849" s="4" t="s">
        <v>30</v>
      </c>
      <c r="F2849" s="5">
        <v>2.97</v>
      </c>
      <c r="G2849" s="4" t="s">
        <v>31</v>
      </c>
      <c r="H2849" s="6">
        <f t="shared" si="44"/>
        <v>3768.9300000000003</v>
      </c>
    </row>
    <row r="2850" spans="1:8" x14ac:dyDescent="0.2">
      <c r="A2850" s="2" t="s">
        <v>2935</v>
      </c>
      <c r="B2850" s="2" t="s">
        <v>2842</v>
      </c>
      <c r="C2850" s="2" t="s">
        <v>57</v>
      </c>
      <c r="D2850" s="3">
        <v>4664</v>
      </c>
      <c r="E2850" s="4" t="s">
        <v>20</v>
      </c>
      <c r="F2850" s="5">
        <v>0.85</v>
      </c>
      <c r="G2850" s="4" t="s">
        <v>21</v>
      </c>
      <c r="H2850" s="6">
        <f t="shared" si="44"/>
        <v>3964.4</v>
      </c>
    </row>
    <row r="2851" spans="1:8" x14ac:dyDescent="0.2">
      <c r="A2851" s="2" t="s">
        <v>2936</v>
      </c>
      <c r="B2851" s="2" t="s">
        <v>2842</v>
      </c>
      <c r="C2851" s="2" t="s">
        <v>147</v>
      </c>
      <c r="D2851" s="3">
        <v>4989</v>
      </c>
      <c r="E2851" s="4" t="s">
        <v>53</v>
      </c>
      <c r="F2851" s="5">
        <v>12.59</v>
      </c>
      <c r="G2851" s="4" t="s">
        <v>54</v>
      </c>
      <c r="H2851" s="6">
        <f t="shared" si="44"/>
        <v>62811.51</v>
      </c>
    </row>
    <row r="2852" spans="1:8" x14ac:dyDescent="0.2">
      <c r="A2852" s="2" t="s">
        <v>2937</v>
      </c>
      <c r="B2852" s="2" t="s">
        <v>2842</v>
      </c>
      <c r="C2852" s="2" t="s">
        <v>67</v>
      </c>
      <c r="D2852" s="3">
        <v>3133</v>
      </c>
      <c r="E2852" s="4" t="s">
        <v>24</v>
      </c>
      <c r="F2852" s="5">
        <v>0.36</v>
      </c>
      <c r="G2852" s="4" t="s">
        <v>25</v>
      </c>
      <c r="H2852" s="6">
        <f t="shared" si="44"/>
        <v>1127.8799999999999</v>
      </c>
    </row>
    <row r="2853" spans="1:8" x14ac:dyDescent="0.2">
      <c r="A2853" s="2" t="s">
        <v>2938</v>
      </c>
      <c r="B2853" s="2" t="s">
        <v>2842</v>
      </c>
      <c r="C2853" s="2" t="s">
        <v>67</v>
      </c>
      <c r="D2853" s="3">
        <v>531</v>
      </c>
      <c r="E2853" s="4" t="s">
        <v>24</v>
      </c>
      <c r="F2853" s="5">
        <v>0.46</v>
      </c>
      <c r="G2853" s="4" t="s">
        <v>25</v>
      </c>
      <c r="H2853" s="6">
        <f t="shared" si="44"/>
        <v>244.26000000000002</v>
      </c>
    </row>
    <row r="2854" spans="1:8" x14ac:dyDescent="0.2">
      <c r="A2854" s="2" t="s">
        <v>2939</v>
      </c>
      <c r="B2854" s="2" t="s">
        <v>2842</v>
      </c>
      <c r="C2854" s="2" t="s">
        <v>44</v>
      </c>
      <c r="D2854" s="3">
        <v>3899</v>
      </c>
      <c r="E2854" s="4" t="s">
        <v>24</v>
      </c>
      <c r="F2854" s="5">
        <v>0.98</v>
      </c>
      <c r="G2854" s="4" t="s">
        <v>25</v>
      </c>
      <c r="H2854" s="6">
        <f t="shared" si="44"/>
        <v>3821.02</v>
      </c>
    </row>
    <row r="2855" spans="1:8" x14ac:dyDescent="0.2">
      <c r="A2855" s="2" t="s">
        <v>2940</v>
      </c>
      <c r="B2855" s="2" t="s">
        <v>2842</v>
      </c>
      <c r="C2855" s="2" t="s">
        <v>46</v>
      </c>
      <c r="D2855" s="3">
        <v>3708</v>
      </c>
      <c r="E2855" s="4" t="s">
        <v>20</v>
      </c>
      <c r="F2855" s="5">
        <v>3.28</v>
      </c>
      <c r="G2855" s="4" t="s">
        <v>21</v>
      </c>
      <c r="H2855" s="6">
        <f t="shared" si="44"/>
        <v>12162.24</v>
      </c>
    </row>
    <row r="2856" spans="1:8" x14ac:dyDescent="0.2">
      <c r="A2856" s="2" t="s">
        <v>2941</v>
      </c>
      <c r="B2856" s="2" t="s">
        <v>2842</v>
      </c>
      <c r="C2856" s="2" t="s">
        <v>71</v>
      </c>
      <c r="D2856" s="3">
        <v>773</v>
      </c>
      <c r="E2856" s="4" t="s">
        <v>72</v>
      </c>
      <c r="F2856" s="5">
        <v>2502.85</v>
      </c>
      <c r="G2856" s="4" t="s">
        <v>73</v>
      </c>
      <c r="H2856" s="6">
        <f t="shared" si="44"/>
        <v>1934703.0499999998</v>
      </c>
    </row>
    <row r="2857" spans="1:8" x14ac:dyDescent="0.2">
      <c r="A2857" s="2" t="s">
        <v>2942</v>
      </c>
      <c r="B2857" s="2" t="s">
        <v>2842</v>
      </c>
      <c r="C2857" s="2" t="s">
        <v>29</v>
      </c>
      <c r="D2857" s="3">
        <v>1465</v>
      </c>
      <c r="E2857" s="4" t="s">
        <v>30</v>
      </c>
      <c r="F2857" s="5">
        <v>1.04</v>
      </c>
      <c r="G2857" s="4" t="s">
        <v>31</v>
      </c>
      <c r="H2857" s="6">
        <f t="shared" si="44"/>
        <v>1523.6000000000001</v>
      </c>
    </row>
    <row r="2858" spans="1:8" x14ac:dyDescent="0.2">
      <c r="A2858" s="2" t="s">
        <v>2943</v>
      </c>
      <c r="B2858" s="2" t="s">
        <v>2842</v>
      </c>
      <c r="C2858" s="2" t="s">
        <v>147</v>
      </c>
      <c r="D2858" s="3">
        <v>4012</v>
      </c>
      <c r="E2858" s="4" t="s">
        <v>53</v>
      </c>
      <c r="F2858" s="5">
        <v>8.2100000000000009</v>
      </c>
      <c r="G2858" s="4" t="s">
        <v>54</v>
      </c>
      <c r="H2858" s="6">
        <f t="shared" si="44"/>
        <v>32938.520000000004</v>
      </c>
    </row>
    <row r="2859" spans="1:8" x14ac:dyDescent="0.2">
      <c r="A2859" s="2" t="s">
        <v>2944</v>
      </c>
      <c r="B2859" s="2" t="s">
        <v>2842</v>
      </c>
      <c r="C2859" s="2" t="s">
        <v>44</v>
      </c>
      <c r="D2859" s="3">
        <v>579</v>
      </c>
      <c r="E2859" s="4" t="s">
        <v>24</v>
      </c>
      <c r="F2859" s="5">
        <v>1.54</v>
      </c>
      <c r="G2859" s="4" t="s">
        <v>25</v>
      </c>
      <c r="H2859" s="6">
        <f t="shared" si="44"/>
        <v>891.66</v>
      </c>
    </row>
    <row r="2860" spans="1:8" x14ac:dyDescent="0.2">
      <c r="A2860" s="2" t="s">
        <v>2945</v>
      </c>
      <c r="B2860" s="2" t="s">
        <v>2842</v>
      </c>
      <c r="C2860" s="2" t="s">
        <v>67</v>
      </c>
      <c r="D2860" s="3">
        <v>2335</v>
      </c>
      <c r="E2860" s="4" t="s">
        <v>24</v>
      </c>
      <c r="F2860" s="5">
        <v>0.36</v>
      </c>
      <c r="G2860" s="4" t="s">
        <v>25</v>
      </c>
      <c r="H2860" s="6">
        <f t="shared" si="44"/>
        <v>840.6</v>
      </c>
    </row>
    <row r="2861" spans="1:8" x14ac:dyDescent="0.2">
      <c r="A2861" s="2" t="s">
        <v>2946</v>
      </c>
      <c r="B2861" s="2" t="s">
        <v>2842</v>
      </c>
      <c r="C2861" s="2" t="s">
        <v>71</v>
      </c>
      <c r="D2861" s="3">
        <v>4305</v>
      </c>
      <c r="E2861" s="4" t="s">
        <v>72</v>
      </c>
      <c r="F2861" s="5">
        <v>2441.9899999999998</v>
      </c>
      <c r="G2861" s="4" t="s">
        <v>73</v>
      </c>
      <c r="H2861" s="6">
        <f t="shared" si="44"/>
        <v>10512766.949999999</v>
      </c>
    </row>
    <row r="2862" spans="1:8" x14ac:dyDescent="0.2">
      <c r="A2862" s="2" t="s">
        <v>2947</v>
      </c>
      <c r="B2862" s="2" t="s">
        <v>2842</v>
      </c>
      <c r="C2862" s="2" t="s">
        <v>37</v>
      </c>
      <c r="D2862" s="3">
        <v>3029</v>
      </c>
      <c r="E2862" s="4" t="s">
        <v>38</v>
      </c>
      <c r="F2862" s="5">
        <v>3.56</v>
      </c>
      <c r="G2862" s="4" t="s">
        <v>39</v>
      </c>
      <c r="H2862" s="6">
        <f t="shared" si="44"/>
        <v>10783.24</v>
      </c>
    </row>
    <row r="2863" spans="1:8" x14ac:dyDescent="0.2">
      <c r="A2863" s="2" t="s">
        <v>2948</v>
      </c>
      <c r="B2863" s="2" t="s">
        <v>2842</v>
      </c>
      <c r="C2863" s="2" t="s">
        <v>118</v>
      </c>
      <c r="D2863" s="3">
        <v>2686</v>
      </c>
      <c r="E2863" s="4" t="s">
        <v>24</v>
      </c>
      <c r="F2863" s="5">
        <v>1</v>
      </c>
      <c r="G2863" s="4" t="s">
        <v>25</v>
      </c>
      <c r="H2863" s="6">
        <f t="shared" si="44"/>
        <v>2686</v>
      </c>
    </row>
    <row r="2864" spans="1:8" x14ac:dyDescent="0.2">
      <c r="A2864" s="2" t="s">
        <v>2949</v>
      </c>
      <c r="B2864" s="2" t="s">
        <v>2842</v>
      </c>
      <c r="C2864" s="2" t="s">
        <v>52</v>
      </c>
      <c r="D2864" s="3">
        <v>3213</v>
      </c>
      <c r="E2864" s="4" t="s">
        <v>53</v>
      </c>
      <c r="F2864" s="5">
        <v>9.7899999999999991</v>
      </c>
      <c r="G2864" s="4" t="s">
        <v>54</v>
      </c>
      <c r="H2864" s="6">
        <f t="shared" si="44"/>
        <v>31455.269999999997</v>
      </c>
    </row>
    <row r="2865" spans="1:8" x14ac:dyDescent="0.2">
      <c r="A2865" s="2" t="s">
        <v>2950</v>
      </c>
      <c r="B2865" s="2" t="s">
        <v>2842</v>
      </c>
      <c r="C2865" s="2" t="s">
        <v>50</v>
      </c>
      <c r="D2865" s="3">
        <v>1067</v>
      </c>
      <c r="E2865" s="4" t="s">
        <v>20</v>
      </c>
      <c r="F2865" s="5">
        <v>1.02</v>
      </c>
      <c r="G2865" s="4" t="s">
        <v>21</v>
      </c>
      <c r="H2865" s="6">
        <f t="shared" si="44"/>
        <v>1088.3399999999999</v>
      </c>
    </row>
    <row r="2866" spans="1:8" x14ac:dyDescent="0.2">
      <c r="A2866" s="2" t="s">
        <v>2951</v>
      </c>
      <c r="B2866" s="2" t="s">
        <v>2842</v>
      </c>
      <c r="C2866" s="2" t="s">
        <v>48</v>
      </c>
      <c r="D2866" s="3">
        <v>573</v>
      </c>
      <c r="E2866" s="4" t="s">
        <v>24</v>
      </c>
      <c r="F2866" s="5">
        <v>0.11</v>
      </c>
      <c r="G2866" s="4" t="s">
        <v>25</v>
      </c>
      <c r="H2866" s="6">
        <f t="shared" si="44"/>
        <v>63.03</v>
      </c>
    </row>
    <row r="2867" spans="1:8" x14ac:dyDescent="0.2">
      <c r="A2867" s="2" t="s">
        <v>2952</v>
      </c>
      <c r="B2867" s="2" t="s">
        <v>2842</v>
      </c>
      <c r="C2867" s="2" t="s">
        <v>44</v>
      </c>
      <c r="D2867" s="3">
        <v>1074</v>
      </c>
      <c r="E2867" s="4" t="s">
        <v>24</v>
      </c>
      <c r="F2867" s="5">
        <v>1.51</v>
      </c>
      <c r="G2867" s="4" t="s">
        <v>25</v>
      </c>
      <c r="H2867" s="6">
        <f t="shared" si="44"/>
        <v>1621.74</v>
      </c>
    </row>
    <row r="2868" spans="1:8" x14ac:dyDescent="0.2">
      <c r="A2868" s="2" t="s">
        <v>2953</v>
      </c>
      <c r="B2868" s="2" t="s">
        <v>2842</v>
      </c>
      <c r="C2868" s="2" t="s">
        <v>71</v>
      </c>
      <c r="D2868" s="3">
        <v>3550</v>
      </c>
      <c r="E2868" s="4" t="s">
        <v>72</v>
      </c>
      <c r="F2868" s="5">
        <v>2890.74</v>
      </c>
      <c r="G2868" s="4" t="s">
        <v>73</v>
      </c>
      <c r="H2868" s="6">
        <f t="shared" si="44"/>
        <v>10262127</v>
      </c>
    </row>
    <row r="2869" spans="1:8" x14ac:dyDescent="0.2">
      <c r="A2869" s="2" t="s">
        <v>2954</v>
      </c>
      <c r="B2869" s="2" t="s">
        <v>2842</v>
      </c>
      <c r="C2869" s="2" t="s">
        <v>48</v>
      </c>
      <c r="D2869" s="3">
        <v>1310</v>
      </c>
      <c r="E2869" s="4" t="s">
        <v>24</v>
      </c>
      <c r="F2869" s="5">
        <v>0.14000000000000001</v>
      </c>
      <c r="G2869" s="4" t="s">
        <v>25</v>
      </c>
      <c r="H2869" s="6">
        <f t="shared" si="44"/>
        <v>183.4</v>
      </c>
    </row>
    <row r="2870" spans="1:8" x14ac:dyDescent="0.2">
      <c r="A2870" s="2" t="s">
        <v>2955</v>
      </c>
      <c r="B2870" s="2" t="s">
        <v>2842</v>
      </c>
      <c r="C2870" s="2" t="s">
        <v>71</v>
      </c>
      <c r="D2870" s="3">
        <v>4822</v>
      </c>
      <c r="E2870" s="4" t="s">
        <v>72</v>
      </c>
      <c r="F2870" s="5">
        <v>2521.7800000000002</v>
      </c>
      <c r="G2870" s="4" t="s">
        <v>73</v>
      </c>
      <c r="H2870" s="6">
        <f t="shared" si="44"/>
        <v>12160023.16</v>
      </c>
    </row>
    <row r="2871" spans="1:8" x14ac:dyDescent="0.2">
      <c r="A2871" s="2" t="s">
        <v>2956</v>
      </c>
      <c r="B2871" s="2" t="s">
        <v>2842</v>
      </c>
      <c r="C2871" s="2" t="s">
        <v>23</v>
      </c>
      <c r="D2871" s="3">
        <v>2266</v>
      </c>
      <c r="E2871" s="4" t="s">
        <v>24</v>
      </c>
      <c r="F2871" s="5">
        <v>13.21</v>
      </c>
      <c r="G2871" s="4" t="s">
        <v>25</v>
      </c>
      <c r="H2871" s="6">
        <f t="shared" si="44"/>
        <v>29933.86</v>
      </c>
    </row>
    <row r="2872" spans="1:8" x14ac:dyDescent="0.2">
      <c r="A2872" s="2" t="s">
        <v>2957</v>
      </c>
      <c r="B2872" s="2" t="s">
        <v>2842</v>
      </c>
      <c r="C2872" s="2" t="s">
        <v>89</v>
      </c>
      <c r="D2872" s="3">
        <v>3661</v>
      </c>
      <c r="E2872" s="4" t="s">
        <v>30</v>
      </c>
      <c r="F2872" s="5">
        <v>1.88</v>
      </c>
      <c r="G2872" s="4" t="s">
        <v>31</v>
      </c>
      <c r="H2872" s="6">
        <f t="shared" si="44"/>
        <v>6882.6799999999994</v>
      </c>
    </row>
    <row r="2873" spans="1:8" x14ac:dyDescent="0.2">
      <c r="A2873" s="2" t="s">
        <v>2958</v>
      </c>
      <c r="B2873" s="2" t="s">
        <v>2842</v>
      </c>
      <c r="C2873" s="2" t="s">
        <v>67</v>
      </c>
      <c r="D2873" s="3">
        <v>4964</v>
      </c>
      <c r="E2873" s="4" t="s">
        <v>24</v>
      </c>
      <c r="F2873" s="5">
        <v>0.54</v>
      </c>
      <c r="G2873" s="4" t="s">
        <v>25</v>
      </c>
      <c r="H2873" s="6">
        <f t="shared" si="44"/>
        <v>2680.5600000000004</v>
      </c>
    </row>
    <row r="2874" spans="1:8" x14ac:dyDescent="0.2">
      <c r="A2874" s="2" t="s">
        <v>2959</v>
      </c>
      <c r="B2874" s="2" t="s">
        <v>2842</v>
      </c>
      <c r="C2874" s="2" t="s">
        <v>78</v>
      </c>
      <c r="D2874" s="3">
        <v>2704</v>
      </c>
      <c r="E2874" s="4" t="s">
        <v>38</v>
      </c>
      <c r="F2874" s="5">
        <v>3.05</v>
      </c>
      <c r="G2874" s="4" t="s">
        <v>39</v>
      </c>
      <c r="H2874" s="6">
        <f t="shared" si="44"/>
        <v>8247.1999999999989</v>
      </c>
    </row>
    <row r="2875" spans="1:8" x14ac:dyDescent="0.2">
      <c r="A2875" s="2" t="s">
        <v>2960</v>
      </c>
      <c r="B2875" s="2" t="s">
        <v>2842</v>
      </c>
      <c r="C2875" s="2" t="s">
        <v>48</v>
      </c>
      <c r="D2875" s="3">
        <v>3779</v>
      </c>
      <c r="E2875" s="4" t="s">
        <v>24</v>
      </c>
      <c r="F2875" s="5">
        <v>0.12</v>
      </c>
      <c r="G2875" s="4" t="s">
        <v>25</v>
      </c>
      <c r="H2875" s="6">
        <f t="shared" si="44"/>
        <v>453.47999999999996</v>
      </c>
    </row>
    <row r="2876" spans="1:8" x14ac:dyDescent="0.2">
      <c r="A2876" s="2" t="s">
        <v>2961</v>
      </c>
      <c r="B2876" s="2" t="s">
        <v>2842</v>
      </c>
      <c r="C2876" s="2" t="s">
        <v>37</v>
      </c>
      <c r="D2876" s="3">
        <v>756</v>
      </c>
      <c r="E2876" s="4" t="s">
        <v>38</v>
      </c>
      <c r="F2876" s="5">
        <v>2.86</v>
      </c>
      <c r="G2876" s="4" t="s">
        <v>39</v>
      </c>
      <c r="H2876" s="6">
        <f t="shared" si="44"/>
        <v>2162.16</v>
      </c>
    </row>
    <row r="2877" spans="1:8" x14ac:dyDescent="0.2">
      <c r="A2877" s="2" t="s">
        <v>2962</v>
      </c>
      <c r="B2877" s="2" t="s">
        <v>2842</v>
      </c>
      <c r="C2877" s="2" t="s">
        <v>23</v>
      </c>
      <c r="D2877" s="3">
        <v>2850</v>
      </c>
      <c r="E2877" s="4" t="s">
        <v>24</v>
      </c>
      <c r="F2877" s="5">
        <v>16.2</v>
      </c>
      <c r="G2877" s="4" t="s">
        <v>25</v>
      </c>
      <c r="H2877" s="6">
        <f t="shared" si="44"/>
        <v>46170</v>
      </c>
    </row>
    <row r="2878" spans="1:8" x14ac:dyDescent="0.2">
      <c r="A2878" s="2" t="s">
        <v>2963</v>
      </c>
      <c r="B2878" s="2" t="s">
        <v>2842</v>
      </c>
      <c r="C2878" s="2" t="s">
        <v>71</v>
      </c>
      <c r="D2878" s="3">
        <v>3213</v>
      </c>
      <c r="E2878" s="4" t="s">
        <v>72</v>
      </c>
      <c r="F2878" s="5">
        <v>2767.82</v>
      </c>
      <c r="G2878" s="4" t="s">
        <v>73</v>
      </c>
      <c r="H2878" s="6">
        <f t="shared" si="44"/>
        <v>8893005.6600000001</v>
      </c>
    </row>
    <row r="2879" spans="1:8" x14ac:dyDescent="0.2">
      <c r="A2879" s="2" t="s">
        <v>2964</v>
      </c>
      <c r="B2879" s="2" t="s">
        <v>2842</v>
      </c>
      <c r="C2879" s="2" t="s">
        <v>118</v>
      </c>
      <c r="D2879" s="3">
        <v>3410</v>
      </c>
      <c r="E2879" s="4" t="s">
        <v>24</v>
      </c>
      <c r="F2879" s="5">
        <v>0.56999999999999995</v>
      </c>
      <c r="G2879" s="4" t="s">
        <v>25</v>
      </c>
      <c r="H2879" s="6">
        <f t="shared" si="44"/>
        <v>1943.6999999999998</v>
      </c>
    </row>
    <row r="2880" spans="1:8" x14ac:dyDescent="0.2">
      <c r="A2880" s="2" t="s">
        <v>2965</v>
      </c>
      <c r="B2880" s="2" t="s">
        <v>2842</v>
      </c>
      <c r="C2880" s="2" t="s">
        <v>147</v>
      </c>
      <c r="D2880" s="3">
        <v>3549</v>
      </c>
      <c r="E2880" s="4" t="s">
        <v>53</v>
      </c>
      <c r="F2880" s="5">
        <v>11.66</v>
      </c>
      <c r="G2880" s="4" t="s">
        <v>54</v>
      </c>
      <c r="H2880" s="6">
        <f t="shared" si="44"/>
        <v>41381.340000000004</v>
      </c>
    </row>
    <row r="2881" spans="1:8" x14ac:dyDescent="0.2">
      <c r="A2881" s="2" t="s">
        <v>2966</v>
      </c>
      <c r="B2881" s="2" t="s">
        <v>2842</v>
      </c>
      <c r="C2881" s="2" t="s">
        <v>118</v>
      </c>
      <c r="D2881" s="3">
        <v>4668</v>
      </c>
      <c r="E2881" s="4" t="s">
        <v>24</v>
      </c>
      <c r="F2881" s="5">
        <v>0.47</v>
      </c>
      <c r="G2881" s="4" t="s">
        <v>25</v>
      </c>
      <c r="H2881" s="6">
        <f t="shared" si="44"/>
        <v>2193.96</v>
      </c>
    </row>
    <row r="2882" spans="1:8" x14ac:dyDescent="0.2">
      <c r="A2882" s="2" t="s">
        <v>2967</v>
      </c>
      <c r="B2882" s="2" t="s">
        <v>2842</v>
      </c>
      <c r="C2882" s="2" t="s">
        <v>37</v>
      </c>
      <c r="D2882" s="3">
        <v>1973</v>
      </c>
      <c r="E2882" s="4" t="s">
        <v>38</v>
      </c>
      <c r="F2882" s="5">
        <v>4.66</v>
      </c>
      <c r="G2882" s="4" t="s">
        <v>39</v>
      </c>
      <c r="H2882" s="6">
        <f t="shared" ref="H2882:H2945" si="45">D2882*F2882</f>
        <v>9194.18</v>
      </c>
    </row>
    <row r="2883" spans="1:8" x14ac:dyDescent="0.2">
      <c r="A2883" s="2" t="s">
        <v>2968</v>
      </c>
      <c r="B2883" s="2" t="s">
        <v>2842</v>
      </c>
      <c r="C2883" s="2" t="s">
        <v>118</v>
      </c>
      <c r="D2883" s="3">
        <v>2252</v>
      </c>
      <c r="E2883" s="4" t="s">
        <v>24</v>
      </c>
      <c r="F2883" s="5">
        <v>1.02</v>
      </c>
      <c r="G2883" s="4" t="s">
        <v>25</v>
      </c>
      <c r="H2883" s="6">
        <f t="shared" si="45"/>
        <v>2297.04</v>
      </c>
    </row>
    <row r="2884" spans="1:8" x14ac:dyDescent="0.2">
      <c r="A2884" s="2" t="s">
        <v>2969</v>
      </c>
      <c r="B2884" s="2" t="s">
        <v>2842</v>
      </c>
      <c r="C2884" s="2" t="s">
        <v>29</v>
      </c>
      <c r="D2884" s="3">
        <v>2401</v>
      </c>
      <c r="E2884" s="4" t="s">
        <v>30</v>
      </c>
      <c r="F2884" s="5">
        <v>1.8</v>
      </c>
      <c r="G2884" s="4" t="s">
        <v>31</v>
      </c>
      <c r="H2884" s="6">
        <f t="shared" si="45"/>
        <v>4321.8</v>
      </c>
    </row>
    <row r="2885" spans="1:8" x14ac:dyDescent="0.2">
      <c r="A2885" s="2" t="s">
        <v>2970</v>
      </c>
      <c r="B2885" s="2" t="s">
        <v>2842</v>
      </c>
      <c r="C2885" s="2" t="s">
        <v>27</v>
      </c>
      <c r="D2885" s="3">
        <v>1789</v>
      </c>
      <c r="E2885" s="4" t="s">
        <v>20</v>
      </c>
      <c r="F2885" s="5">
        <v>2.29</v>
      </c>
      <c r="G2885" s="4" t="s">
        <v>21</v>
      </c>
      <c r="H2885" s="6">
        <f t="shared" si="45"/>
        <v>4096.8100000000004</v>
      </c>
    </row>
    <row r="2886" spans="1:8" x14ac:dyDescent="0.2">
      <c r="A2886" s="2" t="s">
        <v>2971</v>
      </c>
      <c r="B2886" s="2" t="s">
        <v>2842</v>
      </c>
      <c r="C2886" s="2" t="s">
        <v>52</v>
      </c>
      <c r="D2886" s="3">
        <v>4538</v>
      </c>
      <c r="E2886" s="4" t="s">
        <v>53</v>
      </c>
      <c r="F2886" s="5">
        <v>9.61</v>
      </c>
      <c r="G2886" s="4" t="s">
        <v>54</v>
      </c>
      <c r="H2886" s="6">
        <f t="shared" si="45"/>
        <v>43610.18</v>
      </c>
    </row>
    <row r="2887" spans="1:8" x14ac:dyDescent="0.2">
      <c r="A2887" s="2" t="s">
        <v>2972</v>
      </c>
      <c r="B2887" s="2" t="s">
        <v>2842</v>
      </c>
      <c r="C2887" s="2" t="s">
        <v>19</v>
      </c>
      <c r="D2887" s="3">
        <v>636</v>
      </c>
      <c r="E2887" s="4" t="s">
        <v>20</v>
      </c>
      <c r="F2887" s="5">
        <v>1.55</v>
      </c>
      <c r="G2887" s="4" t="s">
        <v>21</v>
      </c>
      <c r="H2887" s="6">
        <f t="shared" si="45"/>
        <v>985.80000000000007</v>
      </c>
    </row>
    <row r="2888" spans="1:8" x14ac:dyDescent="0.2">
      <c r="A2888" s="2" t="s">
        <v>2973</v>
      </c>
      <c r="B2888" s="2" t="s">
        <v>2842</v>
      </c>
      <c r="C2888" s="2" t="s">
        <v>78</v>
      </c>
      <c r="D2888" s="3">
        <v>2680</v>
      </c>
      <c r="E2888" s="4" t="s">
        <v>38</v>
      </c>
      <c r="F2888" s="5">
        <v>2.2000000000000002</v>
      </c>
      <c r="G2888" s="4" t="s">
        <v>39</v>
      </c>
      <c r="H2888" s="6">
        <f t="shared" si="45"/>
        <v>5896.0000000000009</v>
      </c>
    </row>
    <row r="2889" spans="1:8" x14ac:dyDescent="0.2">
      <c r="A2889" s="2" t="s">
        <v>2974</v>
      </c>
      <c r="B2889" s="2" t="s">
        <v>2975</v>
      </c>
      <c r="C2889" s="2" t="s">
        <v>118</v>
      </c>
      <c r="D2889" s="3">
        <v>2080</v>
      </c>
      <c r="E2889" s="4" t="s">
        <v>24</v>
      </c>
      <c r="F2889" s="5">
        <v>0.55000000000000004</v>
      </c>
      <c r="G2889" s="4" t="s">
        <v>25</v>
      </c>
      <c r="H2889" s="6">
        <f t="shared" si="45"/>
        <v>1144</v>
      </c>
    </row>
    <row r="2890" spans="1:8" x14ac:dyDescent="0.2">
      <c r="A2890" s="2" t="s">
        <v>2976</v>
      </c>
      <c r="B2890" s="2" t="s">
        <v>2975</v>
      </c>
      <c r="C2890" s="2" t="s">
        <v>37</v>
      </c>
      <c r="D2890" s="3">
        <v>3796</v>
      </c>
      <c r="E2890" s="4" t="s">
        <v>38</v>
      </c>
      <c r="F2890" s="5">
        <v>2.08</v>
      </c>
      <c r="G2890" s="4" t="s">
        <v>39</v>
      </c>
      <c r="H2890" s="6">
        <f t="shared" si="45"/>
        <v>7895.68</v>
      </c>
    </row>
    <row r="2891" spans="1:8" x14ac:dyDescent="0.2">
      <c r="A2891" s="2" t="s">
        <v>2977</v>
      </c>
      <c r="B2891" s="2" t="s">
        <v>2975</v>
      </c>
      <c r="C2891" s="2" t="s">
        <v>23</v>
      </c>
      <c r="D2891" s="3">
        <v>3132</v>
      </c>
      <c r="E2891" s="4" t="s">
        <v>24</v>
      </c>
      <c r="F2891" s="5">
        <v>14.06</v>
      </c>
      <c r="G2891" s="4" t="s">
        <v>25</v>
      </c>
      <c r="H2891" s="6">
        <f t="shared" si="45"/>
        <v>44035.92</v>
      </c>
    </row>
    <row r="2892" spans="1:8" x14ac:dyDescent="0.2">
      <c r="A2892" s="2" t="s">
        <v>2978</v>
      </c>
      <c r="B2892" s="2" t="s">
        <v>2975</v>
      </c>
      <c r="C2892" s="2" t="s">
        <v>67</v>
      </c>
      <c r="D2892" s="3">
        <v>1602</v>
      </c>
      <c r="E2892" s="4" t="s">
        <v>24</v>
      </c>
      <c r="F2892" s="5">
        <v>0.42</v>
      </c>
      <c r="G2892" s="4" t="s">
        <v>25</v>
      </c>
      <c r="H2892" s="6">
        <f t="shared" si="45"/>
        <v>672.84</v>
      </c>
    </row>
    <row r="2893" spans="1:8" x14ac:dyDescent="0.2">
      <c r="A2893" s="2" t="s">
        <v>2979</v>
      </c>
      <c r="B2893" s="2" t="s">
        <v>2975</v>
      </c>
      <c r="C2893" s="2" t="s">
        <v>33</v>
      </c>
      <c r="D2893" s="3">
        <v>2062</v>
      </c>
      <c r="E2893" s="4" t="s">
        <v>34</v>
      </c>
      <c r="F2893" s="5">
        <v>3.79</v>
      </c>
      <c r="G2893" s="4" t="s">
        <v>35</v>
      </c>
      <c r="H2893" s="6">
        <f t="shared" si="45"/>
        <v>7814.9800000000005</v>
      </c>
    </row>
    <row r="2894" spans="1:8" x14ac:dyDescent="0.2">
      <c r="A2894" s="2" t="s">
        <v>2980</v>
      </c>
      <c r="B2894" s="2" t="s">
        <v>2975</v>
      </c>
      <c r="C2894" s="2" t="s">
        <v>89</v>
      </c>
      <c r="D2894" s="3">
        <v>2689</v>
      </c>
      <c r="E2894" s="4" t="s">
        <v>30</v>
      </c>
      <c r="F2894" s="5">
        <v>2.6</v>
      </c>
      <c r="G2894" s="4" t="s">
        <v>31</v>
      </c>
      <c r="H2894" s="6">
        <f t="shared" si="45"/>
        <v>6991.4000000000005</v>
      </c>
    </row>
    <row r="2895" spans="1:8" x14ac:dyDescent="0.2">
      <c r="A2895" s="2" t="s">
        <v>2981</v>
      </c>
      <c r="B2895" s="2" t="s">
        <v>2975</v>
      </c>
      <c r="C2895" s="2" t="s">
        <v>23</v>
      </c>
      <c r="D2895" s="3">
        <v>3981</v>
      </c>
      <c r="E2895" s="4" t="s">
        <v>24</v>
      </c>
      <c r="F2895" s="5">
        <v>14.77</v>
      </c>
      <c r="G2895" s="4" t="s">
        <v>25</v>
      </c>
      <c r="H2895" s="6">
        <f t="shared" si="45"/>
        <v>58799.369999999995</v>
      </c>
    </row>
    <row r="2896" spans="1:8" x14ac:dyDescent="0.2">
      <c r="A2896" s="2" t="s">
        <v>2982</v>
      </c>
      <c r="B2896" s="2" t="s">
        <v>2975</v>
      </c>
      <c r="C2896" s="2" t="s">
        <v>27</v>
      </c>
      <c r="D2896" s="3">
        <v>4502</v>
      </c>
      <c r="E2896" s="4" t="s">
        <v>20</v>
      </c>
      <c r="F2896" s="5">
        <v>1.99</v>
      </c>
      <c r="G2896" s="4" t="s">
        <v>21</v>
      </c>
      <c r="H2896" s="6">
        <f t="shared" si="45"/>
        <v>8958.98</v>
      </c>
    </row>
    <row r="2897" spans="1:8" x14ac:dyDescent="0.2">
      <c r="A2897" s="2" t="s">
        <v>2983</v>
      </c>
      <c r="B2897" s="2" t="s">
        <v>2975</v>
      </c>
      <c r="C2897" s="2" t="s">
        <v>23</v>
      </c>
      <c r="D2897" s="3">
        <v>1158</v>
      </c>
      <c r="E2897" s="4" t="s">
        <v>24</v>
      </c>
      <c r="F2897" s="5">
        <v>14.82</v>
      </c>
      <c r="G2897" s="4" t="s">
        <v>25</v>
      </c>
      <c r="H2897" s="6">
        <f t="shared" si="45"/>
        <v>17161.560000000001</v>
      </c>
    </row>
    <row r="2898" spans="1:8" x14ac:dyDescent="0.2">
      <c r="A2898" s="2" t="s">
        <v>2984</v>
      </c>
      <c r="B2898" s="2" t="s">
        <v>2975</v>
      </c>
      <c r="C2898" s="2" t="s">
        <v>86</v>
      </c>
      <c r="D2898" s="3">
        <v>1331</v>
      </c>
      <c r="E2898" s="4" t="s">
        <v>72</v>
      </c>
      <c r="F2898" s="5">
        <v>8038.82</v>
      </c>
      <c r="G2898" s="4" t="s">
        <v>73</v>
      </c>
      <c r="H2898" s="6">
        <f t="shared" si="45"/>
        <v>10699669.42</v>
      </c>
    </row>
    <row r="2899" spans="1:8" x14ac:dyDescent="0.2">
      <c r="A2899" s="2" t="s">
        <v>2985</v>
      </c>
      <c r="B2899" s="2" t="s">
        <v>2975</v>
      </c>
      <c r="C2899" s="2" t="s">
        <v>33</v>
      </c>
      <c r="D2899" s="3">
        <v>4982</v>
      </c>
      <c r="E2899" s="4" t="s">
        <v>34</v>
      </c>
      <c r="F2899" s="5">
        <v>3.75</v>
      </c>
      <c r="G2899" s="4" t="s">
        <v>35</v>
      </c>
      <c r="H2899" s="6">
        <f t="shared" si="45"/>
        <v>18682.5</v>
      </c>
    </row>
    <row r="2900" spans="1:8" x14ac:dyDescent="0.2">
      <c r="A2900" s="2" t="s">
        <v>2986</v>
      </c>
      <c r="B2900" s="2" t="s">
        <v>2975</v>
      </c>
      <c r="C2900" s="2" t="s">
        <v>71</v>
      </c>
      <c r="D2900" s="3">
        <v>1027</v>
      </c>
      <c r="E2900" s="4" t="s">
        <v>72</v>
      </c>
      <c r="F2900" s="5">
        <v>2720.79</v>
      </c>
      <c r="G2900" s="4" t="s">
        <v>73</v>
      </c>
      <c r="H2900" s="6">
        <f t="shared" si="45"/>
        <v>2794251.33</v>
      </c>
    </row>
    <row r="2901" spans="1:8" x14ac:dyDescent="0.2">
      <c r="A2901" s="2" t="s">
        <v>2987</v>
      </c>
      <c r="B2901" s="2" t="s">
        <v>2975</v>
      </c>
      <c r="C2901" s="2" t="s">
        <v>67</v>
      </c>
      <c r="D2901" s="3">
        <v>1389</v>
      </c>
      <c r="E2901" s="4" t="s">
        <v>24</v>
      </c>
      <c r="F2901" s="5">
        <v>0.32</v>
      </c>
      <c r="G2901" s="4" t="s">
        <v>25</v>
      </c>
      <c r="H2901" s="6">
        <f t="shared" si="45"/>
        <v>444.48</v>
      </c>
    </row>
    <row r="2902" spans="1:8" x14ac:dyDescent="0.2">
      <c r="A2902" s="2" t="s">
        <v>2988</v>
      </c>
      <c r="B2902" s="2" t="s">
        <v>2975</v>
      </c>
      <c r="C2902" s="2" t="s">
        <v>33</v>
      </c>
      <c r="D2902" s="3">
        <v>2248</v>
      </c>
      <c r="E2902" s="4" t="s">
        <v>34</v>
      </c>
      <c r="F2902" s="5">
        <v>3.88</v>
      </c>
      <c r="G2902" s="4" t="s">
        <v>35</v>
      </c>
      <c r="H2902" s="6">
        <f t="shared" si="45"/>
        <v>8722.24</v>
      </c>
    </row>
    <row r="2903" spans="1:8" x14ac:dyDescent="0.2">
      <c r="A2903" s="2" t="s">
        <v>2989</v>
      </c>
      <c r="B2903" s="2" t="s">
        <v>2975</v>
      </c>
      <c r="C2903" s="2" t="s">
        <v>19</v>
      </c>
      <c r="D2903" s="3">
        <v>1467</v>
      </c>
      <c r="E2903" s="4" t="s">
        <v>20</v>
      </c>
      <c r="F2903" s="5">
        <v>1.23</v>
      </c>
      <c r="G2903" s="4" t="s">
        <v>21</v>
      </c>
      <c r="H2903" s="6">
        <f t="shared" si="45"/>
        <v>1804.41</v>
      </c>
    </row>
    <row r="2904" spans="1:8" x14ac:dyDescent="0.2">
      <c r="A2904" s="2" t="s">
        <v>2990</v>
      </c>
      <c r="B2904" s="2" t="s">
        <v>2975</v>
      </c>
      <c r="C2904" s="2" t="s">
        <v>37</v>
      </c>
      <c r="D2904" s="3">
        <v>4370</v>
      </c>
      <c r="E2904" s="4" t="s">
        <v>38</v>
      </c>
      <c r="F2904" s="5">
        <v>2.65</v>
      </c>
      <c r="G2904" s="4" t="s">
        <v>39</v>
      </c>
      <c r="H2904" s="6">
        <f t="shared" si="45"/>
        <v>11580.5</v>
      </c>
    </row>
    <row r="2905" spans="1:8" x14ac:dyDescent="0.2">
      <c r="A2905" s="2" t="s">
        <v>2991</v>
      </c>
      <c r="B2905" s="2" t="s">
        <v>2975</v>
      </c>
      <c r="C2905" s="2" t="s">
        <v>37</v>
      </c>
      <c r="D2905" s="3">
        <v>4293</v>
      </c>
      <c r="E2905" s="4" t="s">
        <v>38</v>
      </c>
      <c r="F2905" s="5">
        <v>3.92</v>
      </c>
      <c r="G2905" s="4" t="s">
        <v>39</v>
      </c>
      <c r="H2905" s="6">
        <f t="shared" si="45"/>
        <v>16828.560000000001</v>
      </c>
    </row>
    <row r="2906" spans="1:8" x14ac:dyDescent="0.2">
      <c r="A2906" s="2" t="s">
        <v>2992</v>
      </c>
      <c r="B2906" s="2" t="s">
        <v>2975</v>
      </c>
      <c r="C2906" s="2" t="s">
        <v>50</v>
      </c>
      <c r="D2906" s="3">
        <v>3209</v>
      </c>
      <c r="E2906" s="4" t="s">
        <v>20</v>
      </c>
      <c r="F2906" s="5">
        <v>1.1100000000000001</v>
      </c>
      <c r="G2906" s="4" t="s">
        <v>21</v>
      </c>
      <c r="H2906" s="6">
        <f t="shared" si="45"/>
        <v>3561.9900000000002</v>
      </c>
    </row>
    <row r="2907" spans="1:8" x14ac:dyDescent="0.2">
      <c r="A2907" s="2" t="s">
        <v>2993</v>
      </c>
      <c r="B2907" s="2" t="s">
        <v>2975</v>
      </c>
      <c r="C2907" s="2" t="s">
        <v>23</v>
      </c>
      <c r="D2907" s="3">
        <v>439</v>
      </c>
      <c r="E2907" s="4" t="s">
        <v>24</v>
      </c>
      <c r="F2907" s="5">
        <v>15.59</v>
      </c>
      <c r="G2907" s="4" t="s">
        <v>25</v>
      </c>
      <c r="H2907" s="6">
        <f t="shared" si="45"/>
        <v>6844.01</v>
      </c>
    </row>
    <row r="2908" spans="1:8" x14ac:dyDescent="0.2">
      <c r="A2908" s="2" t="s">
        <v>2994</v>
      </c>
      <c r="B2908" s="2" t="s">
        <v>2975</v>
      </c>
      <c r="C2908" s="2" t="s">
        <v>37</v>
      </c>
      <c r="D2908" s="3">
        <v>3101</v>
      </c>
      <c r="E2908" s="4" t="s">
        <v>38</v>
      </c>
      <c r="F2908" s="5">
        <v>4.3</v>
      </c>
      <c r="G2908" s="4" t="s">
        <v>39</v>
      </c>
      <c r="H2908" s="6">
        <f t="shared" si="45"/>
        <v>13334.3</v>
      </c>
    </row>
    <row r="2909" spans="1:8" x14ac:dyDescent="0.2">
      <c r="A2909" s="2" t="s">
        <v>2995</v>
      </c>
      <c r="B2909" s="2" t="s">
        <v>2975</v>
      </c>
      <c r="C2909" s="2" t="s">
        <v>42</v>
      </c>
      <c r="D2909" s="3">
        <v>3079</v>
      </c>
      <c r="E2909" s="4" t="s">
        <v>24</v>
      </c>
      <c r="F2909" s="5">
        <v>6.23</v>
      </c>
      <c r="G2909" s="4" t="s">
        <v>25</v>
      </c>
      <c r="H2909" s="6">
        <f t="shared" si="45"/>
        <v>19182.170000000002</v>
      </c>
    </row>
    <row r="2910" spans="1:8" x14ac:dyDescent="0.2">
      <c r="A2910" s="2" t="s">
        <v>2996</v>
      </c>
      <c r="B2910" s="2" t="s">
        <v>2975</v>
      </c>
      <c r="C2910" s="2" t="s">
        <v>44</v>
      </c>
      <c r="D2910" s="3">
        <v>758</v>
      </c>
      <c r="E2910" s="4" t="s">
        <v>24</v>
      </c>
      <c r="F2910" s="5">
        <v>0.91</v>
      </c>
      <c r="G2910" s="4" t="s">
        <v>25</v>
      </c>
      <c r="H2910" s="6">
        <f t="shared" si="45"/>
        <v>689.78</v>
      </c>
    </row>
    <row r="2911" spans="1:8" x14ac:dyDescent="0.2">
      <c r="A2911" s="2" t="s">
        <v>2997</v>
      </c>
      <c r="B2911" s="2" t="s">
        <v>2975</v>
      </c>
      <c r="C2911" s="2" t="s">
        <v>33</v>
      </c>
      <c r="D2911" s="3">
        <v>129</v>
      </c>
      <c r="E2911" s="4" t="s">
        <v>34</v>
      </c>
      <c r="F2911" s="5">
        <v>4.34</v>
      </c>
      <c r="G2911" s="4" t="s">
        <v>35</v>
      </c>
      <c r="H2911" s="6">
        <f t="shared" si="45"/>
        <v>559.86</v>
      </c>
    </row>
    <row r="2912" spans="1:8" x14ac:dyDescent="0.2">
      <c r="A2912" s="2" t="s">
        <v>2998</v>
      </c>
      <c r="B2912" s="2" t="s">
        <v>2975</v>
      </c>
      <c r="C2912" s="2" t="s">
        <v>44</v>
      </c>
      <c r="D2912" s="3">
        <v>527</v>
      </c>
      <c r="E2912" s="4" t="s">
        <v>24</v>
      </c>
      <c r="F2912" s="5">
        <v>1.05</v>
      </c>
      <c r="G2912" s="4" t="s">
        <v>25</v>
      </c>
      <c r="H2912" s="6">
        <f t="shared" si="45"/>
        <v>553.35</v>
      </c>
    </row>
    <row r="2913" spans="1:8" x14ac:dyDescent="0.2">
      <c r="A2913" s="2" t="s">
        <v>2999</v>
      </c>
      <c r="B2913" s="2" t="s">
        <v>2975</v>
      </c>
      <c r="C2913" s="2" t="s">
        <v>50</v>
      </c>
      <c r="D2913" s="3">
        <v>1385</v>
      </c>
      <c r="E2913" s="4" t="s">
        <v>20</v>
      </c>
      <c r="F2913" s="5">
        <v>1.1299999999999999</v>
      </c>
      <c r="G2913" s="4" t="s">
        <v>21</v>
      </c>
      <c r="H2913" s="6">
        <f t="shared" si="45"/>
        <v>1565.05</v>
      </c>
    </row>
    <row r="2914" spans="1:8" x14ac:dyDescent="0.2">
      <c r="A2914" s="2" t="s">
        <v>3000</v>
      </c>
      <c r="B2914" s="2" t="s">
        <v>2975</v>
      </c>
      <c r="C2914" s="2" t="s">
        <v>37</v>
      </c>
      <c r="D2914" s="3">
        <v>3415</v>
      </c>
      <c r="E2914" s="4" t="s">
        <v>38</v>
      </c>
      <c r="F2914" s="5">
        <v>3.54</v>
      </c>
      <c r="G2914" s="4" t="s">
        <v>39</v>
      </c>
      <c r="H2914" s="6">
        <f t="shared" si="45"/>
        <v>12089.1</v>
      </c>
    </row>
    <row r="2915" spans="1:8" x14ac:dyDescent="0.2">
      <c r="A2915" s="2" t="s">
        <v>3001</v>
      </c>
      <c r="B2915" s="2" t="s">
        <v>2975</v>
      </c>
      <c r="C2915" s="2" t="s">
        <v>57</v>
      </c>
      <c r="D2915" s="3">
        <v>2653</v>
      </c>
      <c r="E2915" s="4" t="s">
        <v>20</v>
      </c>
      <c r="F2915" s="5">
        <v>0.82</v>
      </c>
      <c r="G2915" s="4" t="s">
        <v>21</v>
      </c>
      <c r="H2915" s="6">
        <f t="shared" si="45"/>
        <v>2175.46</v>
      </c>
    </row>
    <row r="2916" spans="1:8" x14ac:dyDescent="0.2">
      <c r="A2916" s="2" t="s">
        <v>3002</v>
      </c>
      <c r="B2916" s="2" t="s">
        <v>2975</v>
      </c>
      <c r="C2916" s="2" t="s">
        <v>44</v>
      </c>
      <c r="D2916" s="3">
        <v>1706</v>
      </c>
      <c r="E2916" s="4" t="s">
        <v>24</v>
      </c>
      <c r="F2916" s="5">
        <v>1.55</v>
      </c>
      <c r="G2916" s="4" t="s">
        <v>25</v>
      </c>
      <c r="H2916" s="6">
        <f t="shared" si="45"/>
        <v>2644.3</v>
      </c>
    </row>
    <row r="2917" spans="1:8" x14ac:dyDescent="0.2">
      <c r="A2917" s="2" t="s">
        <v>3003</v>
      </c>
      <c r="B2917" s="2" t="s">
        <v>2975</v>
      </c>
      <c r="C2917" s="2" t="s">
        <v>67</v>
      </c>
      <c r="D2917" s="3">
        <v>3515</v>
      </c>
      <c r="E2917" s="4" t="s">
        <v>24</v>
      </c>
      <c r="F2917" s="5">
        <v>0.34</v>
      </c>
      <c r="G2917" s="4" t="s">
        <v>25</v>
      </c>
      <c r="H2917" s="6">
        <f t="shared" si="45"/>
        <v>1195.1000000000001</v>
      </c>
    </row>
    <row r="2918" spans="1:8" x14ac:dyDescent="0.2">
      <c r="A2918" s="2" t="s">
        <v>3004</v>
      </c>
      <c r="B2918" s="2" t="s">
        <v>2975</v>
      </c>
      <c r="C2918" s="2" t="s">
        <v>44</v>
      </c>
      <c r="D2918" s="3">
        <v>877</v>
      </c>
      <c r="E2918" s="4" t="s">
        <v>24</v>
      </c>
      <c r="F2918" s="5">
        <v>1.1499999999999999</v>
      </c>
      <c r="G2918" s="4" t="s">
        <v>25</v>
      </c>
      <c r="H2918" s="6">
        <f t="shared" si="45"/>
        <v>1008.55</v>
      </c>
    </row>
    <row r="2919" spans="1:8" x14ac:dyDescent="0.2">
      <c r="A2919" s="2" t="s">
        <v>3005</v>
      </c>
      <c r="B2919" s="2" t="s">
        <v>2975</v>
      </c>
      <c r="C2919" s="2" t="s">
        <v>118</v>
      </c>
      <c r="D2919" s="3">
        <v>132</v>
      </c>
      <c r="E2919" s="4" t="s">
        <v>24</v>
      </c>
      <c r="F2919" s="5">
        <v>0.68</v>
      </c>
      <c r="G2919" s="4" t="s">
        <v>25</v>
      </c>
      <c r="H2919" s="6">
        <f t="shared" si="45"/>
        <v>89.76</v>
      </c>
    </row>
    <row r="2920" spans="1:8" x14ac:dyDescent="0.2">
      <c r="A2920" s="2" t="s">
        <v>3006</v>
      </c>
      <c r="B2920" s="2" t="s">
        <v>2975</v>
      </c>
      <c r="C2920" s="2" t="s">
        <v>57</v>
      </c>
      <c r="D2920" s="3">
        <v>108</v>
      </c>
      <c r="E2920" s="4" t="s">
        <v>20</v>
      </c>
      <c r="F2920" s="5">
        <v>0.76</v>
      </c>
      <c r="G2920" s="4" t="s">
        <v>21</v>
      </c>
      <c r="H2920" s="6">
        <f t="shared" si="45"/>
        <v>82.08</v>
      </c>
    </row>
    <row r="2921" spans="1:8" x14ac:dyDescent="0.2">
      <c r="A2921" s="2" t="s">
        <v>3007</v>
      </c>
      <c r="B2921" s="2" t="s">
        <v>2975</v>
      </c>
      <c r="C2921" s="2" t="s">
        <v>23</v>
      </c>
      <c r="D2921" s="3">
        <v>1813</v>
      </c>
      <c r="E2921" s="4" t="s">
        <v>24</v>
      </c>
      <c r="F2921" s="5">
        <v>12.4</v>
      </c>
      <c r="G2921" s="4" t="s">
        <v>25</v>
      </c>
      <c r="H2921" s="6">
        <f t="shared" si="45"/>
        <v>22481.200000000001</v>
      </c>
    </row>
    <row r="2922" spans="1:8" x14ac:dyDescent="0.2">
      <c r="A2922" s="2" t="s">
        <v>3008</v>
      </c>
      <c r="B2922" s="2" t="s">
        <v>2975</v>
      </c>
      <c r="C2922" s="2" t="s">
        <v>86</v>
      </c>
      <c r="D2922" s="3">
        <v>3032</v>
      </c>
      <c r="E2922" s="4" t="s">
        <v>72</v>
      </c>
      <c r="F2922" s="5">
        <v>7861.51</v>
      </c>
      <c r="G2922" s="4" t="s">
        <v>73</v>
      </c>
      <c r="H2922" s="6">
        <f t="shared" si="45"/>
        <v>23836098.32</v>
      </c>
    </row>
    <row r="2923" spans="1:8" x14ac:dyDescent="0.2">
      <c r="A2923" s="2" t="s">
        <v>3009</v>
      </c>
      <c r="B2923" s="2" t="s">
        <v>2975</v>
      </c>
      <c r="C2923" s="2" t="s">
        <v>44</v>
      </c>
      <c r="D2923" s="3">
        <v>3377</v>
      </c>
      <c r="E2923" s="4" t="s">
        <v>24</v>
      </c>
      <c r="F2923" s="5">
        <v>1.1100000000000001</v>
      </c>
      <c r="G2923" s="4" t="s">
        <v>25</v>
      </c>
      <c r="H2923" s="6">
        <f t="shared" si="45"/>
        <v>3748.4700000000003</v>
      </c>
    </row>
    <row r="2924" spans="1:8" x14ac:dyDescent="0.2">
      <c r="A2924" s="2" t="s">
        <v>3010</v>
      </c>
      <c r="B2924" s="2" t="s">
        <v>2975</v>
      </c>
      <c r="C2924" s="2" t="s">
        <v>147</v>
      </c>
      <c r="D2924" s="3">
        <v>4102</v>
      </c>
      <c r="E2924" s="4" t="s">
        <v>53</v>
      </c>
      <c r="F2924" s="5">
        <v>15.86</v>
      </c>
      <c r="G2924" s="4" t="s">
        <v>54</v>
      </c>
      <c r="H2924" s="6">
        <f t="shared" si="45"/>
        <v>65057.72</v>
      </c>
    </row>
    <row r="2925" spans="1:8" x14ac:dyDescent="0.2">
      <c r="A2925" s="2" t="s">
        <v>3011</v>
      </c>
      <c r="B2925" s="2" t="s">
        <v>2975</v>
      </c>
      <c r="C2925" s="2" t="s">
        <v>50</v>
      </c>
      <c r="D2925" s="3">
        <v>4402</v>
      </c>
      <c r="E2925" s="4" t="s">
        <v>20</v>
      </c>
      <c r="F2925" s="5">
        <v>1.17</v>
      </c>
      <c r="G2925" s="4" t="s">
        <v>21</v>
      </c>
      <c r="H2925" s="6">
        <f t="shared" si="45"/>
        <v>5150.3399999999992</v>
      </c>
    </row>
    <row r="2926" spans="1:8" x14ac:dyDescent="0.2">
      <c r="A2926" s="2" t="s">
        <v>3012</v>
      </c>
      <c r="B2926" s="2" t="s">
        <v>2975</v>
      </c>
      <c r="C2926" s="2" t="s">
        <v>46</v>
      </c>
      <c r="D2926" s="3">
        <v>1414</v>
      </c>
      <c r="E2926" s="4" t="s">
        <v>20</v>
      </c>
      <c r="F2926" s="5">
        <v>2.5</v>
      </c>
      <c r="G2926" s="4" t="s">
        <v>21</v>
      </c>
      <c r="H2926" s="6">
        <f t="shared" si="45"/>
        <v>3535</v>
      </c>
    </row>
    <row r="2927" spans="1:8" x14ac:dyDescent="0.2">
      <c r="A2927" s="2" t="s">
        <v>3013</v>
      </c>
      <c r="B2927" s="2" t="s">
        <v>2975</v>
      </c>
      <c r="C2927" s="2" t="s">
        <v>50</v>
      </c>
      <c r="D2927" s="3">
        <v>4924</v>
      </c>
      <c r="E2927" s="4" t="s">
        <v>20</v>
      </c>
      <c r="F2927" s="5">
        <v>0.89</v>
      </c>
      <c r="G2927" s="4" t="s">
        <v>21</v>
      </c>
      <c r="H2927" s="6">
        <f t="shared" si="45"/>
        <v>4382.3599999999997</v>
      </c>
    </row>
    <row r="2928" spans="1:8" x14ac:dyDescent="0.2">
      <c r="A2928" s="2" t="s">
        <v>3014</v>
      </c>
      <c r="B2928" s="2" t="s">
        <v>2975</v>
      </c>
      <c r="C2928" s="2" t="s">
        <v>67</v>
      </c>
      <c r="D2928" s="3">
        <v>1098</v>
      </c>
      <c r="E2928" s="4" t="s">
        <v>24</v>
      </c>
      <c r="F2928" s="5">
        <v>0.4</v>
      </c>
      <c r="G2928" s="4" t="s">
        <v>25</v>
      </c>
      <c r="H2928" s="6">
        <f t="shared" si="45"/>
        <v>439.20000000000005</v>
      </c>
    </row>
    <row r="2929" spans="1:8" x14ac:dyDescent="0.2">
      <c r="A2929" s="2" t="s">
        <v>3015</v>
      </c>
      <c r="B2929" s="2" t="s">
        <v>2975</v>
      </c>
      <c r="C2929" s="2" t="s">
        <v>57</v>
      </c>
      <c r="D2929" s="3">
        <v>3959</v>
      </c>
      <c r="E2929" s="4" t="s">
        <v>20</v>
      </c>
      <c r="F2929" s="5">
        <v>0.63</v>
      </c>
      <c r="G2929" s="4" t="s">
        <v>21</v>
      </c>
      <c r="H2929" s="6">
        <f t="shared" si="45"/>
        <v>2494.17</v>
      </c>
    </row>
    <row r="2930" spans="1:8" x14ac:dyDescent="0.2">
      <c r="A2930" s="2" t="s">
        <v>3016</v>
      </c>
      <c r="B2930" s="2" t="s">
        <v>2975</v>
      </c>
      <c r="C2930" s="2" t="s">
        <v>33</v>
      </c>
      <c r="D2930" s="3">
        <v>4995</v>
      </c>
      <c r="E2930" s="4" t="s">
        <v>34</v>
      </c>
      <c r="F2930" s="5">
        <v>5.78</v>
      </c>
      <c r="G2930" s="4" t="s">
        <v>35</v>
      </c>
      <c r="H2930" s="6">
        <f t="shared" si="45"/>
        <v>28871.100000000002</v>
      </c>
    </row>
    <row r="2931" spans="1:8" x14ac:dyDescent="0.2">
      <c r="A2931" s="2" t="s">
        <v>3017</v>
      </c>
      <c r="B2931" s="2" t="s">
        <v>2975</v>
      </c>
      <c r="C2931" s="2" t="s">
        <v>23</v>
      </c>
      <c r="D2931" s="3">
        <v>3142</v>
      </c>
      <c r="E2931" s="4" t="s">
        <v>24</v>
      </c>
      <c r="F2931" s="5">
        <v>15.07</v>
      </c>
      <c r="G2931" s="4" t="s">
        <v>25</v>
      </c>
      <c r="H2931" s="6">
        <f t="shared" si="45"/>
        <v>47349.94</v>
      </c>
    </row>
    <row r="2932" spans="1:8" x14ac:dyDescent="0.2">
      <c r="A2932" s="2" t="s">
        <v>3018</v>
      </c>
      <c r="B2932" s="2" t="s">
        <v>2975</v>
      </c>
      <c r="C2932" s="2" t="s">
        <v>42</v>
      </c>
      <c r="D2932" s="3">
        <v>4134</v>
      </c>
      <c r="E2932" s="4" t="s">
        <v>24</v>
      </c>
      <c r="F2932" s="5">
        <v>5.26</v>
      </c>
      <c r="G2932" s="4" t="s">
        <v>25</v>
      </c>
      <c r="H2932" s="6">
        <f t="shared" si="45"/>
        <v>21744.84</v>
      </c>
    </row>
    <row r="2933" spans="1:8" x14ac:dyDescent="0.2">
      <c r="A2933" s="2" t="s">
        <v>3019</v>
      </c>
      <c r="B2933" s="2" t="s">
        <v>2975</v>
      </c>
      <c r="C2933" s="2" t="s">
        <v>33</v>
      </c>
      <c r="D2933" s="3">
        <v>1915</v>
      </c>
      <c r="E2933" s="4" t="s">
        <v>34</v>
      </c>
      <c r="F2933" s="5">
        <v>3.55</v>
      </c>
      <c r="G2933" s="4" t="s">
        <v>35</v>
      </c>
      <c r="H2933" s="6">
        <f t="shared" si="45"/>
        <v>6798.25</v>
      </c>
    </row>
    <row r="2934" spans="1:8" x14ac:dyDescent="0.2">
      <c r="A2934" s="2" t="s">
        <v>3020</v>
      </c>
      <c r="B2934" s="2" t="s">
        <v>2975</v>
      </c>
      <c r="C2934" s="2" t="s">
        <v>50</v>
      </c>
      <c r="D2934" s="3">
        <v>2540</v>
      </c>
      <c r="E2934" s="4" t="s">
        <v>20</v>
      </c>
      <c r="F2934" s="5">
        <v>0.84</v>
      </c>
      <c r="G2934" s="4" t="s">
        <v>21</v>
      </c>
      <c r="H2934" s="6">
        <f t="shared" si="45"/>
        <v>2133.6</v>
      </c>
    </row>
    <row r="2935" spans="1:8" x14ac:dyDescent="0.2">
      <c r="A2935" s="2" t="s">
        <v>3021</v>
      </c>
      <c r="B2935" s="2" t="s">
        <v>2975</v>
      </c>
      <c r="C2935" s="2" t="s">
        <v>52</v>
      </c>
      <c r="D2935" s="3">
        <v>2005</v>
      </c>
      <c r="E2935" s="4" t="s">
        <v>53</v>
      </c>
      <c r="F2935" s="5">
        <v>12.1</v>
      </c>
      <c r="G2935" s="4" t="s">
        <v>54</v>
      </c>
      <c r="H2935" s="6">
        <f t="shared" si="45"/>
        <v>24260.5</v>
      </c>
    </row>
    <row r="2936" spans="1:8" x14ac:dyDescent="0.2">
      <c r="A2936" s="2" t="s">
        <v>3022</v>
      </c>
      <c r="B2936" s="2" t="s">
        <v>2975</v>
      </c>
      <c r="C2936" s="2" t="s">
        <v>37</v>
      </c>
      <c r="D2936" s="3">
        <v>1136</v>
      </c>
      <c r="E2936" s="4" t="s">
        <v>38</v>
      </c>
      <c r="F2936" s="5">
        <v>3.12</v>
      </c>
      <c r="G2936" s="4" t="s">
        <v>39</v>
      </c>
      <c r="H2936" s="6">
        <f t="shared" si="45"/>
        <v>3544.32</v>
      </c>
    </row>
    <row r="2937" spans="1:8" x14ac:dyDescent="0.2">
      <c r="A2937" s="2" t="s">
        <v>3023</v>
      </c>
      <c r="B2937" s="2" t="s">
        <v>2975</v>
      </c>
      <c r="C2937" s="2" t="s">
        <v>71</v>
      </c>
      <c r="D2937" s="3">
        <v>1664</v>
      </c>
      <c r="E2937" s="4" t="s">
        <v>72</v>
      </c>
      <c r="F2937" s="5">
        <v>2491</v>
      </c>
      <c r="G2937" s="4" t="s">
        <v>73</v>
      </c>
      <c r="H2937" s="6">
        <f t="shared" si="45"/>
        <v>4145024</v>
      </c>
    </row>
    <row r="2938" spans="1:8" x14ac:dyDescent="0.2">
      <c r="A2938" s="2" t="s">
        <v>3024</v>
      </c>
      <c r="B2938" s="2" t="s">
        <v>2975</v>
      </c>
      <c r="C2938" s="2" t="s">
        <v>44</v>
      </c>
      <c r="D2938" s="3">
        <v>320</v>
      </c>
      <c r="E2938" s="4" t="s">
        <v>24</v>
      </c>
      <c r="F2938" s="5">
        <v>1.07</v>
      </c>
      <c r="G2938" s="4" t="s">
        <v>25</v>
      </c>
      <c r="H2938" s="6">
        <f t="shared" si="45"/>
        <v>342.40000000000003</v>
      </c>
    </row>
    <row r="2939" spans="1:8" x14ac:dyDescent="0.2">
      <c r="A2939" s="2" t="s">
        <v>3025</v>
      </c>
      <c r="B2939" s="2" t="s">
        <v>3026</v>
      </c>
      <c r="C2939" s="2" t="s">
        <v>147</v>
      </c>
      <c r="D2939" s="3">
        <v>3645</v>
      </c>
      <c r="E2939" s="4" t="s">
        <v>53</v>
      </c>
      <c r="F2939" s="5">
        <v>13.91</v>
      </c>
      <c r="G2939" s="4" t="s">
        <v>54</v>
      </c>
      <c r="H2939" s="6">
        <f t="shared" si="45"/>
        <v>50701.95</v>
      </c>
    </row>
    <row r="2940" spans="1:8" x14ac:dyDescent="0.2">
      <c r="A2940" s="2" t="s">
        <v>3027</v>
      </c>
      <c r="B2940" s="2" t="s">
        <v>3026</v>
      </c>
      <c r="C2940" s="2" t="s">
        <v>57</v>
      </c>
      <c r="D2940" s="3">
        <v>1109</v>
      </c>
      <c r="E2940" s="4" t="s">
        <v>20</v>
      </c>
      <c r="F2940" s="5">
        <v>0.71</v>
      </c>
      <c r="G2940" s="4" t="s">
        <v>21</v>
      </c>
      <c r="H2940" s="6">
        <f t="shared" si="45"/>
        <v>787.39</v>
      </c>
    </row>
    <row r="2941" spans="1:8" x14ac:dyDescent="0.2">
      <c r="A2941" s="2" t="s">
        <v>3028</v>
      </c>
      <c r="B2941" s="2" t="s">
        <v>3026</v>
      </c>
      <c r="C2941" s="2" t="s">
        <v>37</v>
      </c>
      <c r="D2941" s="3">
        <v>4276</v>
      </c>
      <c r="E2941" s="4" t="s">
        <v>38</v>
      </c>
      <c r="F2941" s="5">
        <v>4.38</v>
      </c>
      <c r="G2941" s="4" t="s">
        <v>39</v>
      </c>
      <c r="H2941" s="6">
        <f t="shared" si="45"/>
        <v>18728.88</v>
      </c>
    </row>
    <row r="2942" spans="1:8" x14ac:dyDescent="0.2">
      <c r="A2942" s="2" t="s">
        <v>3029</v>
      </c>
      <c r="B2942" s="2" t="s">
        <v>3026</v>
      </c>
      <c r="C2942" s="2" t="s">
        <v>52</v>
      </c>
      <c r="D2942" s="3">
        <v>2373</v>
      </c>
      <c r="E2942" s="4" t="s">
        <v>53</v>
      </c>
      <c r="F2942" s="5">
        <v>12.75</v>
      </c>
      <c r="G2942" s="4" t="s">
        <v>54</v>
      </c>
      <c r="H2942" s="6">
        <f t="shared" si="45"/>
        <v>30255.75</v>
      </c>
    </row>
    <row r="2943" spans="1:8" x14ac:dyDescent="0.2">
      <c r="A2943" s="2" t="s">
        <v>3030</v>
      </c>
      <c r="B2943" s="2" t="s">
        <v>3026</v>
      </c>
      <c r="C2943" s="2" t="s">
        <v>42</v>
      </c>
      <c r="D2943" s="3">
        <v>2723</v>
      </c>
      <c r="E2943" s="4" t="s">
        <v>24</v>
      </c>
      <c r="F2943" s="5">
        <v>4.53</v>
      </c>
      <c r="G2943" s="4" t="s">
        <v>25</v>
      </c>
      <c r="H2943" s="6">
        <f t="shared" si="45"/>
        <v>12335.19</v>
      </c>
    </row>
    <row r="2944" spans="1:8" x14ac:dyDescent="0.2">
      <c r="A2944" s="2" t="s">
        <v>3031</v>
      </c>
      <c r="B2944" s="2" t="s">
        <v>3026</v>
      </c>
      <c r="C2944" s="2" t="s">
        <v>44</v>
      </c>
      <c r="D2944" s="3">
        <v>4428</v>
      </c>
      <c r="E2944" s="4" t="s">
        <v>24</v>
      </c>
      <c r="F2944" s="5">
        <v>0.94</v>
      </c>
      <c r="G2944" s="4" t="s">
        <v>25</v>
      </c>
      <c r="H2944" s="6">
        <f t="shared" si="45"/>
        <v>4162.32</v>
      </c>
    </row>
    <row r="2945" spans="1:8" x14ac:dyDescent="0.2">
      <c r="A2945" s="2" t="s">
        <v>3032</v>
      </c>
      <c r="B2945" s="2" t="s">
        <v>3026</v>
      </c>
      <c r="C2945" s="2" t="s">
        <v>42</v>
      </c>
      <c r="D2945" s="3">
        <v>1832</v>
      </c>
      <c r="E2945" s="4" t="s">
        <v>24</v>
      </c>
      <c r="F2945" s="5">
        <v>5.32</v>
      </c>
      <c r="G2945" s="4" t="s">
        <v>25</v>
      </c>
      <c r="H2945" s="6">
        <f t="shared" si="45"/>
        <v>9746.24</v>
      </c>
    </row>
    <row r="2946" spans="1:8" x14ac:dyDescent="0.2">
      <c r="A2946" s="2" t="s">
        <v>3033</v>
      </c>
      <c r="B2946" s="2" t="s">
        <v>3026</v>
      </c>
      <c r="C2946" s="2" t="s">
        <v>67</v>
      </c>
      <c r="D2946" s="3">
        <v>4281</v>
      </c>
      <c r="E2946" s="4" t="s">
        <v>24</v>
      </c>
      <c r="F2946" s="5">
        <v>0.4</v>
      </c>
      <c r="G2946" s="4" t="s">
        <v>25</v>
      </c>
      <c r="H2946" s="6">
        <f t="shared" ref="H2946:H3009" si="46">D2946*F2946</f>
        <v>1712.4</v>
      </c>
    </row>
    <row r="2947" spans="1:8" x14ac:dyDescent="0.2">
      <c r="A2947" s="2" t="s">
        <v>3034</v>
      </c>
      <c r="B2947" s="2" t="s">
        <v>3026</v>
      </c>
      <c r="C2947" s="2" t="s">
        <v>23</v>
      </c>
      <c r="D2947" s="3">
        <v>59</v>
      </c>
      <c r="E2947" s="4" t="s">
        <v>24</v>
      </c>
      <c r="F2947" s="5">
        <v>12.39</v>
      </c>
      <c r="G2947" s="4" t="s">
        <v>25</v>
      </c>
      <c r="H2947" s="6">
        <f t="shared" si="46"/>
        <v>731.01</v>
      </c>
    </row>
    <row r="2948" spans="1:8" x14ac:dyDescent="0.2">
      <c r="A2948" s="2" t="s">
        <v>3035</v>
      </c>
      <c r="B2948" s="2" t="s">
        <v>3026</v>
      </c>
      <c r="C2948" s="2" t="s">
        <v>48</v>
      </c>
      <c r="D2948" s="3">
        <v>583</v>
      </c>
      <c r="E2948" s="4" t="s">
        <v>24</v>
      </c>
      <c r="F2948" s="5">
        <v>0.19</v>
      </c>
      <c r="G2948" s="4" t="s">
        <v>25</v>
      </c>
      <c r="H2948" s="6">
        <f t="shared" si="46"/>
        <v>110.77</v>
      </c>
    </row>
    <row r="2949" spans="1:8" x14ac:dyDescent="0.2">
      <c r="A2949" s="2" t="s">
        <v>3036</v>
      </c>
      <c r="B2949" s="2" t="s">
        <v>3026</v>
      </c>
      <c r="C2949" s="2" t="s">
        <v>37</v>
      </c>
      <c r="D2949" s="3">
        <v>1169</v>
      </c>
      <c r="E2949" s="4" t="s">
        <v>38</v>
      </c>
      <c r="F2949" s="5">
        <v>4.8099999999999996</v>
      </c>
      <c r="G2949" s="4" t="s">
        <v>39</v>
      </c>
      <c r="H2949" s="6">
        <f t="shared" si="46"/>
        <v>5622.8899999999994</v>
      </c>
    </row>
    <row r="2950" spans="1:8" x14ac:dyDescent="0.2">
      <c r="A2950" s="2" t="s">
        <v>3037</v>
      </c>
      <c r="B2950" s="2" t="s">
        <v>3026</v>
      </c>
      <c r="C2950" s="2" t="s">
        <v>89</v>
      </c>
      <c r="D2950" s="3">
        <v>761</v>
      </c>
      <c r="E2950" s="4" t="s">
        <v>30</v>
      </c>
      <c r="F2950" s="5">
        <v>2.0099999999999998</v>
      </c>
      <c r="G2950" s="4" t="s">
        <v>31</v>
      </c>
      <c r="H2950" s="6">
        <f t="shared" si="46"/>
        <v>1529.61</v>
      </c>
    </row>
    <row r="2951" spans="1:8" x14ac:dyDescent="0.2">
      <c r="A2951" s="2" t="s">
        <v>3038</v>
      </c>
      <c r="B2951" s="2" t="s">
        <v>3026</v>
      </c>
      <c r="C2951" s="2" t="s">
        <v>29</v>
      </c>
      <c r="D2951" s="3">
        <v>1684</v>
      </c>
      <c r="E2951" s="4" t="s">
        <v>30</v>
      </c>
      <c r="F2951" s="5">
        <v>1.28</v>
      </c>
      <c r="G2951" s="4" t="s">
        <v>31</v>
      </c>
      <c r="H2951" s="6">
        <f t="shared" si="46"/>
        <v>2155.52</v>
      </c>
    </row>
    <row r="2952" spans="1:8" x14ac:dyDescent="0.2">
      <c r="A2952" s="2" t="s">
        <v>3039</v>
      </c>
      <c r="B2952" s="2" t="s">
        <v>3026</v>
      </c>
      <c r="C2952" s="2" t="s">
        <v>27</v>
      </c>
      <c r="D2952" s="3">
        <v>3501</v>
      </c>
      <c r="E2952" s="4" t="s">
        <v>20</v>
      </c>
      <c r="F2952" s="5">
        <v>2.0699999999999998</v>
      </c>
      <c r="G2952" s="4" t="s">
        <v>21</v>
      </c>
      <c r="H2952" s="6">
        <f t="shared" si="46"/>
        <v>7247.07</v>
      </c>
    </row>
    <row r="2953" spans="1:8" x14ac:dyDescent="0.2">
      <c r="A2953" s="2" t="s">
        <v>3040</v>
      </c>
      <c r="B2953" s="2" t="s">
        <v>3026</v>
      </c>
      <c r="C2953" s="2" t="s">
        <v>71</v>
      </c>
      <c r="D2953" s="3">
        <v>1354</v>
      </c>
      <c r="E2953" s="4" t="s">
        <v>72</v>
      </c>
      <c r="F2953" s="5">
        <v>2833</v>
      </c>
      <c r="G2953" s="4" t="s">
        <v>73</v>
      </c>
      <c r="H2953" s="6">
        <f t="shared" si="46"/>
        <v>3835882</v>
      </c>
    </row>
    <row r="2954" spans="1:8" x14ac:dyDescent="0.2">
      <c r="A2954" s="2" t="s">
        <v>3041</v>
      </c>
      <c r="B2954" s="2" t="s">
        <v>3026</v>
      </c>
      <c r="C2954" s="2" t="s">
        <v>42</v>
      </c>
      <c r="D2954" s="3">
        <v>3483</v>
      </c>
      <c r="E2954" s="4" t="s">
        <v>24</v>
      </c>
      <c r="F2954" s="5">
        <v>4.03</v>
      </c>
      <c r="G2954" s="4" t="s">
        <v>25</v>
      </c>
      <c r="H2954" s="6">
        <f t="shared" si="46"/>
        <v>14036.490000000002</v>
      </c>
    </row>
    <row r="2955" spans="1:8" x14ac:dyDescent="0.2">
      <c r="A2955" s="2" t="s">
        <v>3042</v>
      </c>
      <c r="B2955" s="2" t="s">
        <v>3026</v>
      </c>
      <c r="C2955" s="2" t="s">
        <v>42</v>
      </c>
      <c r="D2955" s="3">
        <v>2493</v>
      </c>
      <c r="E2955" s="4" t="s">
        <v>24</v>
      </c>
      <c r="F2955" s="5">
        <v>4.3600000000000003</v>
      </c>
      <c r="G2955" s="4" t="s">
        <v>25</v>
      </c>
      <c r="H2955" s="6">
        <f t="shared" si="46"/>
        <v>10869.480000000001</v>
      </c>
    </row>
    <row r="2956" spans="1:8" x14ac:dyDescent="0.2">
      <c r="A2956" s="2" t="s">
        <v>3043</v>
      </c>
      <c r="B2956" s="2" t="s">
        <v>3026</v>
      </c>
      <c r="C2956" s="2" t="s">
        <v>23</v>
      </c>
      <c r="D2956" s="3">
        <v>1659</v>
      </c>
      <c r="E2956" s="4" t="s">
        <v>24</v>
      </c>
      <c r="F2956" s="5">
        <v>13.63</v>
      </c>
      <c r="G2956" s="4" t="s">
        <v>25</v>
      </c>
      <c r="H2956" s="6">
        <f t="shared" si="46"/>
        <v>22612.170000000002</v>
      </c>
    </row>
    <row r="2957" spans="1:8" x14ac:dyDescent="0.2">
      <c r="A2957" s="2" t="s">
        <v>3044</v>
      </c>
      <c r="B2957" s="2" t="s">
        <v>3026</v>
      </c>
      <c r="C2957" s="2" t="s">
        <v>48</v>
      </c>
      <c r="D2957" s="3">
        <v>665</v>
      </c>
      <c r="E2957" s="4" t="s">
        <v>24</v>
      </c>
      <c r="F2957" s="5">
        <v>0.19</v>
      </c>
      <c r="G2957" s="4" t="s">
        <v>25</v>
      </c>
      <c r="H2957" s="6">
        <f t="shared" si="46"/>
        <v>126.35000000000001</v>
      </c>
    </row>
    <row r="2958" spans="1:8" x14ac:dyDescent="0.2">
      <c r="A2958" s="2" t="s">
        <v>3045</v>
      </c>
      <c r="B2958" s="2" t="s">
        <v>3026</v>
      </c>
      <c r="C2958" s="2" t="s">
        <v>19</v>
      </c>
      <c r="D2958" s="3">
        <v>3272</v>
      </c>
      <c r="E2958" s="4" t="s">
        <v>20</v>
      </c>
      <c r="F2958" s="5">
        <v>1.33</v>
      </c>
      <c r="G2958" s="4" t="s">
        <v>21</v>
      </c>
      <c r="H2958" s="6">
        <f t="shared" si="46"/>
        <v>4351.76</v>
      </c>
    </row>
    <row r="2959" spans="1:8" x14ac:dyDescent="0.2">
      <c r="A2959" s="2" t="s">
        <v>3046</v>
      </c>
      <c r="B2959" s="2" t="s">
        <v>3026</v>
      </c>
      <c r="C2959" s="2" t="s">
        <v>48</v>
      </c>
      <c r="D2959" s="3">
        <v>3625</v>
      </c>
      <c r="E2959" s="4" t="s">
        <v>24</v>
      </c>
      <c r="F2959" s="5">
        <v>0.11</v>
      </c>
      <c r="G2959" s="4" t="s">
        <v>25</v>
      </c>
      <c r="H2959" s="6">
        <f t="shared" si="46"/>
        <v>398.75</v>
      </c>
    </row>
    <row r="2960" spans="1:8" x14ac:dyDescent="0.2">
      <c r="A2960" s="2" t="s">
        <v>3047</v>
      </c>
      <c r="B2960" s="2" t="s">
        <v>3026</v>
      </c>
      <c r="C2960" s="2" t="s">
        <v>147</v>
      </c>
      <c r="D2960" s="3">
        <v>3560</v>
      </c>
      <c r="E2960" s="4" t="s">
        <v>53</v>
      </c>
      <c r="F2960" s="5">
        <v>14.08</v>
      </c>
      <c r="G2960" s="4" t="s">
        <v>54</v>
      </c>
      <c r="H2960" s="6">
        <f t="shared" si="46"/>
        <v>50124.800000000003</v>
      </c>
    </row>
    <row r="2961" spans="1:8" x14ac:dyDescent="0.2">
      <c r="A2961" s="2" t="s">
        <v>3048</v>
      </c>
      <c r="B2961" s="2" t="s">
        <v>3026</v>
      </c>
      <c r="C2961" s="2" t="s">
        <v>48</v>
      </c>
      <c r="D2961" s="3">
        <v>172</v>
      </c>
      <c r="E2961" s="4" t="s">
        <v>24</v>
      </c>
      <c r="F2961" s="5">
        <v>0.16</v>
      </c>
      <c r="G2961" s="4" t="s">
        <v>25</v>
      </c>
      <c r="H2961" s="6">
        <f t="shared" si="46"/>
        <v>27.52</v>
      </c>
    </row>
    <row r="2962" spans="1:8" x14ac:dyDescent="0.2">
      <c r="A2962" s="2" t="s">
        <v>3049</v>
      </c>
      <c r="B2962" s="2" t="s">
        <v>3026</v>
      </c>
      <c r="C2962" s="2" t="s">
        <v>52</v>
      </c>
      <c r="D2962" s="3">
        <v>691</v>
      </c>
      <c r="E2962" s="4" t="s">
        <v>53</v>
      </c>
      <c r="F2962" s="5">
        <v>12.79</v>
      </c>
      <c r="G2962" s="4" t="s">
        <v>54</v>
      </c>
      <c r="H2962" s="6">
        <f t="shared" si="46"/>
        <v>8837.89</v>
      </c>
    </row>
    <row r="2963" spans="1:8" x14ac:dyDescent="0.2">
      <c r="A2963" s="2" t="s">
        <v>3050</v>
      </c>
      <c r="B2963" s="2" t="s">
        <v>3026</v>
      </c>
      <c r="C2963" s="2" t="s">
        <v>71</v>
      </c>
      <c r="D2963" s="3">
        <v>4885</v>
      </c>
      <c r="E2963" s="4" t="s">
        <v>72</v>
      </c>
      <c r="F2963" s="5">
        <v>2722.32</v>
      </c>
      <c r="G2963" s="4" t="s">
        <v>73</v>
      </c>
      <c r="H2963" s="6">
        <f t="shared" si="46"/>
        <v>13298533.200000001</v>
      </c>
    </row>
    <row r="2964" spans="1:8" x14ac:dyDescent="0.2">
      <c r="A2964" s="2" t="s">
        <v>3051</v>
      </c>
      <c r="B2964" s="2" t="s">
        <v>3026</v>
      </c>
      <c r="C2964" s="2" t="s">
        <v>29</v>
      </c>
      <c r="D2964" s="3">
        <v>1449</v>
      </c>
      <c r="E2964" s="4" t="s">
        <v>30</v>
      </c>
      <c r="F2964" s="5">
        <v>1.31</v>
      </c>
      <c r="G2964" s="4" t="s">
        <v>31</v>
      </c>
      <c r="H2964" s="6">
        <f t="shared" si="46"/>
        <v>1898.19</v>
      </c>
    </row>
    <row r="2965" spans="1:8" x14ac:dyDescent="0.2">
      <c r="A2965" s="2" t="s">
        <v>3052</v>
      </c>
      <c r="B2965" s="2" t="s">
        <v>3026</v>
      </c>
      <c r="C2965" s="2" t="s">
        <v>23</v>
      </c>
      <c r="D2965" s="3">
        <v>2515</v>
      </c>
      <c r="E2965" s="4" t="s">
        <v>24</v>
      </c>
      <c r="F2965" s="5">
        <v>14.72</v>
      </c>
      <c r="G2965" s="4" t="s">
        <v>25</v>
      </c>
      <c r="H2965" s="6">
        <f t="shared" si="46"/>
        <v>37020.800000000003</v>
      </c>
    </row>
    <row r="2966" spans="1:8" x14ac:dyDescent="0.2">
      <c r="A2966" s="2" t="s">
        <v>3053</v>
      </c>
      <c r="B2966" s="2" t="s">
        <v>3026</v>
      </c>
      <c r="C2966" s="2" t="s">
        <v>67</v>
      </c>
      <c r="D2966" s="3">
        <v>4615</v>
      </c>
      <c r="E2966" s="4" t="s">
        <v>24</v>
      </c>
      <c r="F2966" s="5">
        <v>0.48</v>
      </c>
      <c r="G2966" s="4" t="s">
        <v>25</v>
      </c>
      <c r="H2966" s="6">
        <f t="shared" si="46"/>
        <v>2215.1999999999998</v>
      </c>
    </row>
    <row r="2967" spans="1:8" x14ac:dyDescent="0.2">
      <c r="A2967" s="2" t="s">
        <v>3054</v>
      </c>
      <c r="B2967" s="2" t="s">
        <v>3026</v>
      </c>
      <c r="C2967" s="2" t="s">
        <v>27</v>
      </c>
      <c r="D2967" s="3">
        <v>2739</v>
      </c>
      <c r="E2967" s="4" t="s">
        <v>20</v>
      </c>
      <c r="F2967" s="5">
        <v>1.36</v>
      </c>
      <c r="G2967" s="4" t="s">
        <v>21</v>
      </c>
      <c r="H2967" s="6">
        <f t="shared" si="46"/>
        <v>3725.0400000000004</v>
      </c>
    </row>
    <row r="2968" spans="1:8" x14ac:dyDescent="0.2">
      <c r="A2968" s="2" t="s">
        <v>3055</v>
      </c>
      <c r="B2968" s="2" t="s">
        <v>3026</v>
      </c>
      <c r="C2968" s="2" t="s">
        <v>48</v>
      </c>
      <c r="D2968" s="3">
        <v>1613</v>
      </c>
      <c r="E2968" s="4" t="s">
        <v>24</v>
      </c>
      <c r="F2968" s="5">
        <v>7.0000000000000007E-2</v>
      </c>
      <c r="G2968" s="4" t="s">
        <v>25</v>
      </c>
      <c r="H2968" s="6">
        <f t="shared" si="46"/>
        <v>112.91000000000001</v>
      </c>
    </row>
    <row r="2969" spans="1:8" x14ac:dyDescent="0.2">
      <c r="A2969" s="2" t="s">
        <v>3056</v>
      </c>
      <c r="B2969" s="2" t="s">
        <v>3026</v>
      </c>
      <c r="C2969" s="2" t="s">
        <v>44</v>
      </c>
      <c r="D2969" s="3">
        <v>44</v>
      </c>
      <c r="E2969" s="4" t="s">
        <v>24</v>
      </c>
      <c r="F2969" s="5">
        <v>0.91</v>
      </c>
      <c r="G2969" s="4" t="s">
        <v>25</v>
      </c>
      <c r="H2969" s="6">
        <f t="shared" si="46"/>
        <v>40.04</v>
      </c>
    </row>
    <row r="2970" spans="1:8" x14ac:dyDescent="0.2">
      <c r="A2970" s="2" t="s">
        <v>3057</v>
      </c>
      <c r="B2970" s="2" t="s">
        <v>3026</v>
      </c>
      <c r="C2970" s="2" t="s">
        <v>78</v>
      </c>
      <c r="D2970" s="3">
        <v>3075</v>
      </c>
      <c r="E2970" s="4" t="s">
        <v>38</v>
      </c>
      <c r="F2970" s="5">
        <v>2.34</v>
      </c>
      <c r="G2970" s="4" t="s">
        <v>39</v>
      </c>
      <c r="H2970" s="6">
        <f t="shared" si="46"/>
        <v>7195.5</v>
      </c>
    </row>
    <row r="2971" spans="1:8" x14ac:dyDescent="0.2">
      <c r="A2971" s="2" t="s">
        <v>3058</v>
      </c>
      <c r="B2971" s="2" t="s">
        <v>3026</v>
      </c>
      <c r="C2971" s="2" t="s">
        <v>52</v>
      </c>
      <c r="D2971" s="3">
        <v>3242</v>
      </c>
      <c r="E2971" s="4" t="s">
        <v>53</v>
      </c>
      <c r="F2971" s="5">
        <v>13.85</v>
      </c>
      <c r="G2971" s="4" t="s">
        <v>54</v>
      </c>
      <c r="H2971" s="6">
        <f t="shared" si="46"/>
        <v>44901.7</v>
      </c>
    </row>
    <row r="2972" spans="1:8" x14ac:dyDescent="0.2">
      <c r="A2972" s="2" t="s">
        <v>3059</v>
      </c>
      <c r="B2972" s="2" t="s">
        <v>3026</v>
      </c>
      <c r="C2972" s="2" t="s">
        <v>19</v>
      </c>
      <c r="D2972" s="3">
        <v>3156</v>
      </c>
      <c r="E2972" s="4" t="s">
        <v>20</v>
      </c>
      <c r="F2972" s="5">
        <v>1.39</v>
      </c>
      <c r="G2972" s="4" t="s">
        <v>21</v>
      </c>
      <c r="H2972" s="6">
        <f t="shared" si="46"/>
        <v>4386.84</v>
      </c>
    </row>
    <row r="2973" spans="1:8" x14ac:dyDescent="0.2">
      <c r="A2973" s="2" t="s">
        <v>3060</v>
      </c>
      <c r="B2973" s="2" t="s">
        <v>3026</v>
      </c>
      <c r="C2973" s="2" t="s">
        <v>46</v>
      </c>
      <c r="D2973" s="3">
        <v>593</v>
      </c>
      <c r="E2973" s="4" t="s">
        <v>20</v>
      </c>
      <c r="F2973" s="5">
        <v>2.82</v>
      </c>
      <c r="G2973" s="4" t="s">
        <v>21</v>
      </c>
      <c r="H2973" s="6">
        <f t="shared" si="46"/>
        <v>1672.26</v>
      </c>
    </row>
    <row r="2974" spans="1:8" x14ac:dyDescent="0.2">
      <c r="A2974" s="2" t="s">
        <v>3061</v>
      </c>
      <c r="B2974" s="2" t="s">
        <v>3026</v>
      </c>
      <c r="C2974" s="2" t="s">
        <v>37</v>
      </c>
      <c r="D2974" s="3">
        <v>1029</v>
      </c>
      <c r="E2974" s="4" t="s">
        <v>38</v>
      </c>
      <c r="F2974" s="5">
        <v>3.15</v>
      </c>
      <c r="G2974" s="4" t="s">
        <v>39</v>
      </c>
      <c r="H2974" s="6">
        <f t="shared" si="46"/>
        <v>3241.35</v>
      </c>
    </row>
    <row r="2975" spans="1:8" x14ac:dyDescent="0.2">
      <c r="A2975" s="2" t="s">
        <v>3062</v>
      </c>
      <c r="B2975" s="2" t="s">
        <v>3026</v>
      </c>
      <c r="C2975" s="2" t="s">
        <v>46</v>
      </c>
      <c r="D2975" s="3">
        <v>1340</v>
      </c>
      <c r="E2975" s="4" t="s">
        <v>20</v>
      </c>
      <c r="F2975" s="5">
        <v>2.39</v>
      </c>
      <c r="G2975" s="4" t="s">
        <v>21</v>
      </c>
      <c r="H2975" s="6">
        <f t="shared" si="46"/>
        <v>3202.6000000000004</v>
      </c>
    </row>
    <row r="2976" spans="1:8" x14ac:dyDescent="0.2">
      <c r="A2976" s="2" t="s">
        <v>3063</v>
      </c>
      <c r="B2976" s="2" t="s">
        <v>3026</v>
      </c>
      <c r="C2976" s="2" t="s">
        <v>52</v>
      </c>
      <c r="D2976" s="3">
        <v>2101</v>
      </c>
      <c r="E2976" s="4" t="s">
        <v>53</v>
      </c>
      <c r="F2976" s="5">
        <v>12.86</v>
      </c>
      <c r="G2976" s="4" t="s">
        <v>54</v>
      </c>
      <c r="H2976" s="6">
        <f t="shared" si="46"/>
        <v>27018.86</v>
      </c>
    </row>
    <row r="2977" spans="1:8" x14ac:dyDescent="0.2">
      <c r="A2977" s="2" t="s">
        <v>3064</v>
      </c>
      <c r="B2977" s="2" t="s">
        <v>3026</v>
      </c>
      <c r="C2977" s="2" t="s">
        <v>19</v>
      </c>
      <c r="D2977" s="3">
        <v>4184</v>
      </c>
      <c r="E2977" s="4" t="s">
        <v>20</v>
      </c>
      <c r="F2977" s="5">
        <v>1.53</v>
      </c>
      <c r="G2977" s="4" t="s">
        <v>21</v>
      </c>
      <c r="H2977" s="6">
        <f t="shared" si="46"/>
        <v>6401.52</v>
      </c>
    </row>
    <row r="2978" spans="1:8" x14ac:dyDescent="0.2">
      <c r="A2978" s="2" t="s">
        <v>3065</v>
      </c>
      <c r="B2978" s="2" t="s">
        <v>3026</v>
      </c>
      <c r="C2978" s="2" t="s">
        <v>19</v>
      </c>
      <c r="D2978" s="3">
        <v>482</v>
      </c>
      <c r="E2978" s="4" t="s">
        <v>20</v>
      </c>
      <c r="F2978" s="5">
        <v>1.49</v>
      </c>
      <c r="G2978" s="4" t="s">
        <v>21</v>
      </c>
      <c r="H2978" s="6">
        <f t="shared" si="46"/>
        <v>718.18</v>
      </c>
    </row>
    <row r="2979" spans="1:8" x14ac:dyDescent="0.2">
      <c r="A2979" s="2" t="s">
        <v>3066</v>
      </c>
      <c r="B2979" s="2" t="s">
        <v>3026</v>
      </c>
      <c r="C2979" s="2" t="s">
        <v>52</v>
      </c>
      <c r="D2979" s="3">
        <v>2031</v>
      </c>
      <c r="E2979" s="4" t="s">
        <v>53</v>
      </c>
      <c r="F2979" s="5">
        <v>10.210000000000001</v>
      </c>
      <c r="G2979" s="4" t="s">
        <v>54</v>
      </c>
      <c r="H2979" s="6">
        <f t="shared" si="46"/>
        <v>20736.510000000002</v>
      </c>
    </row>
    <row r="2980" spans="1:8" x14ac:dyDescent="0.2">
      <c r="A2980" s="2" t="s">
        <v>3067</v>
      </c>
      <c r="B2980" s="2" t="s">
        <v>3026</v>
      </c>
      <c r="C2980" s="2" t="s">
        <v>37</v>
      </c>
      <c r="D2980" s="3">
        <v>2970</v>
      </c>
      <c r="E2980" s="4" t="s">
        <v>38</v>
      </c>
      <c r="F2980" s="5">
        <v>3.89</v>
      </c>
      <c r="G2980" s="4" t="s">
        <v>39</v>
      </c>
      <c r="H2980" s="6">
        <f t="shared" si="46"/>
        <v>11553.300000000001</v>
      </c>
    </row>
    <row r="2981" spans="1:8" x14ac:dyDescent="0.2">
      <c r="A2981" s="2" t="s">
        <v>3068</v>
      </c>
      <c r="B2981" s="2" t="s">
        <v>3026</v>
      </c>
      <c r="C2981" s="2" t="s">
        <v>33</v>
      </c>
      <c r="D2981" s="3">
        <v>1221</v>
      </c>
      <c r="E2981" s="4" t="s">
        <v>34</v>
      </c>
      <c r="F2981" s="5">
        <v>4.1500000000000004</v>
      </c>
      <c r="G2981" s="4" t="s">
        <v>35</v>
      </c>
      <c r="H2981" s="6">
        <f t="shared" si="46"/>
        <v>5067.1500000000005</v>
      </c>
    </row>
    <row r="2982" spans="1:8" x14ac:dyDescent="0.2">
      <c r="A2982" s="2" t="s">
        <v>3069</v>
      </c>
      <c r="B2982" s="2" t="s">
        <v>3026</v>
      </c>
      <c r="C2982" s="2" t="s">
        <v>23</v>
      </c>
      <c r="D2982" s="3">
        <v>1217</v>
      </c>
      <c r="E2982" s="4" t="s">
        <v>24</v>
      </c>
      <c r="F2982" s="5">
        <v>13.53</v>
      </c>
      <c r="G2982" s="4" t="s">
        <v>25</v>
      </c>
      <c r="H2982" s="6">
        <f t="shared" si="46"/>
        <v>16466.009999999998</v>
      </c>
    </row>
    <row r="2983" spans="1:8" x14ac:dyDescent="0.2">
      <c r="A2983" s="2" t="s">
        <v>3070</v>
      </c>
      <c r="B2983" s="2" t="s">
        <v>3026</v>
      </c>
      <c r="C2983" s="2" t="s">
        <v>147</v>
      </c>
      <c r="D2983" s="3">
        <v>4747</v>
      </c>
      <c r="E2983" s="4" t="s">
        <v>53</v>
      </c>
      <c r="F2983" s="5">
        <v>15.61</v>
      </c>
      <c r="G2983" s="4" t="s">
        <v>54</v>
      </c>
      <c r="H2983" s="6">
        <f t="shared" si="46"/>
        <v>74100.67</v>
      </c>
    </row>
    <row r="2984" spans="1:8" x14ac:dyDescent="0.2">
      <c r="A2984" s="2" t="s">
        <v>3071</v>
      </c>
      <c r="B2984" s="2" t="s">
        <v>3026</v>
      </c>
      <c r="C2984" s="2" t="s">
        <v>118</v>
      </c>
      <c r="D2984" s="3">
        <v>111</v>
      </c>
      <c r="E2984" s="4" t="s">
        <v>24</v>
      </c>
      <c r="F2984" s="5">
        <v>0.48</v>
      </c>
      <c r="G2984" s="4" t="s">
        <v>25</v>
      </c>
      <c r="H2984" s="6">
        <f t="shared" si="46"/>
        <v>53.28</v>
      </c>
    </row>
    <row r="2985" spans="1:8" x14ac:dyDescent="0.2">
      <c r="A2985" s="2" t="s">
        <v>3072</v>
      </c>
      <c r="B2985" s="2" t="s">
        <v>3026</v>
      </c>
      <c r="C2985" s="2" t="s">
        <v>27</v>
      </c>
      <c r="D2985" s="3">
        <v>3158</v>
      </c>
      <c r="E2985" s="4" t="s">
        <v>20</v>
      </c>
      <c r="F2985" s="5">
        <v>1.68</v>
      </c>
      <c r="G2985" s="4" t="s">
        <v>21</v>
      </c>
      <c r="H2985" s="6">
        <f t="shared" si="46"/>
        <v>5305.44</v>
      </c>
    </row>
    <row r="2986" spans="1:8" x14ac:dyDescent="0.2">
      <c r="A2986" s="2" t="s">
        <v>3073</v>
      </c>
      <c r="B2986" s="2" t="s">
        <v>3026</v>
      </c>
      <c r="C2986" s="2" t="s">
        <v>46</v>
      </c>
      <c r="D2986" s="3">
        <v>668</v>
      </c>
      <c r="E2986" s="4" t="s">
        <v>20</v>
      </c>
      <c r="F2986" s="5">
        <v>3.04</v>
      </c>
      <c r="G2986" s="4" t="s">
        <v>21</v>
      </c>
      <c r="H2986" s="6">
        <f t="shared" si="46"/>
        <v>2030.72</v>
      </c>
    </row>
    <row r="2987" spans="1:8" x14ac:dyDescent="0.2">
      <c r="A2987" s="2" t="s">
        <v>3074</v>
      </c>
      <c r="B2987" s="2" t="s">
        <v>3026</v>
      </c>
      <c r="C2987" s="2" t="s">
        <v>44</v>
      </c>
      <c r="D2987" s="3">
        <v>3474</v>
      </c>
      <c r="E2987" s="4" t="s">
        <v>24</v>
      </c>
      <c r="F2987" s="5">
        <v>1.02</v>
      </c>
      <c r="G2987" s="4" t="s">
        <v>25</v>
      </c>
      <c r="H2987" s="6">
        <f t="shared" si="46"/>
        <v>3543.48</v>
      </c>
    </row>
    <row r="2988" spans="1:8" x14ac:dyDescent="0.2">
      <c r="A2988" s="2" t="s">
        <v>3075</v>
      </c>
      <c r="B2988" s="2" t="s">
        <v>3026</v>
      </c>
      <c r="C2988" s="2" t="s">
        <v>52</v>
      </c>
      <c r="D2988" s="3">
        <v>2081</v>
      </c>
      <c r="E2988" s="4" t="s">
        <v>53</v>
      </c>
      <c r="F2988" s="5">
        <v>12.46</v>
      </c>
      <c r="G2988" s="4" t="s">
        <v>54</v>
      </c>
      <c r="H2988" s="6">
        <f t="shared" si="46"/>
        <v>25929.260000000002</v>
      </c>
    </row>
    <row r="2989" spans="1:8" x14ac:dyDescent="0.2">
      <c r="A2989" s="2" t="s">
        <v>3076</v>
      </c>
      <c r="B2989" s="2" t="s">
        <v>3026</v>
      </c>
      <c r="C2989" s="2" t="s">
        <v>78</v>
      </c>
      <c r="D2989" s="3">
        <v>4377</v>
      </c>
      <c r="E2989" s="4" t="s">
        <v>38</v>
      </c>
      <c r="F2989" s="5">
        <v>2.62</v>
      </c>
      <c r="G2989" s="4" t="s">
        <v>39</v>
      </c>
      <c r="H2989" s="6">
        <f t="shared" si="46"/>
        <v>11467.74</v>
      </c>
    </row>
    <row r="2990" spans="1:8" x14ac:dyDescent="0.2">
      <c r="A2990" s="2" t="s">
        <v>3077</v>
      </c>
      <c r="B2990" s="2" t="s">
        <v>3026</v>
      </c>
      <c r="C2990" s="2" t="s">
        <v>67</v>
      </c>
      <c r="D2990" s="3">
        <v>4811</v>
      </c>
      <c r="E2990" s="4" t="s">
        <v>24</v>
      </c>
      <c r="F2990" s="5">
        <v>0.39</v>
      </c>
      <c r="G2990" s="4" t="s">
        <v>25</v>
      </c>
      <c r="H2990" s="6">
        <f t="shared" si="46"/>
        <v>1876.29</v>
      </c>
    </row>
    <row r="2991" spans="1:8" x14ac:dyDescent="0.2">
      <c r="A2991" s="2" t="s">
        <v>3078</v>
      </c>
      <c r="B2991" s="2" t="s">
        <v>3026</v>
      </c>
      <c r="C2991" s="2" t="s">
        <v>52</v>
      </c>
      <c r="D2991" s="3">
        <v>738</v>
      </c>
      <c r="E2991" s="4" t="s">
        <v>53</v>
      </c>
      <c r="F2991" s="5">
        <v>9.5500000000000007</v>
      </c>
      <c r="G2991" s="4" t="s">
        <v>54</v>
      </c>
      <c r="H2991" s="6">
        <f t="shared" si="46"/>
        <v>7047.9000000000005</v>
      </c>
    </row>
    <row r="2992" spans="1:8" x14ac:dyDescent="0.2">
      <c r="A2992" s="2" t="s">
        <v>3079</v>
      </c>
      <c r="B2992" s="2" t="s">
        <v>3026</v>
      </c>
      <c r="C2992" s="2" t="s">
        <v>46</v>
      </c>
      <c r="D2992" s="3">
        <v>2831</v>
      </c>
      <c r="E2992" s="4" t="s">
        <v>20</v>
      </c>
      <c r="F2992" s="5">
        <v>3.63</v>
      </c>
      <c r="G2992" s="4" t="s">
        <v>21</v>
      </c>
      <c r="H2992" s="6">
        <f t="shared" si="46"/>
        <v>10276.529999999999</v>
      </c>
    </row>
    <row r="2993" spans="1:8" x14ac:dyDescent="0.2">
      <c r="A2993" s="2" t="s">
        <v>3080</v>
      </c>
      <c r="B2993" s="2" t="s">
        <v>3026</v>
      </c>
      <c r="C2993" s="2" t="s">
        <v>86</v>
      </c>
      <c r="D2993" s="3">
        <v>1726</v>
      </c>
      <c r="E2993" s="4" t="s">
        <v>72</v>
      </c>
      <c r="F2993" s="5">
        <v>9102.02</v>
      </c>
      <c r="G2993" s="4" t="s">
        <v>73</v>
      </c>
      <c r="H2993" s="6">
        <f t="shared" si="46"/>
        <v>15710086.520000001</v>
      </c>
    </row>
    <row r="2994" spans="1:8" x14ac:dyDescent="0.2">
      <c r="A2994" s="2" t="s">
        <v>3081</v>
      </c>
      <c r="B2994" s="2" t="s">
        <v>3026</v>
      </c>
      <c r="C2994" s="2" t="s">
        <v>67</v>
      </c>
      <c r="D2994" s="3">
        <v>2533</v>
      </c>
      <c r="E2994" s="4" t="s">
        <v>24</v>
      </c>
      <c r="F2994" s="5">
        <v>0.3</v>
      </c>
      <c r="G2994" s="4" t="s">
        <v>25</v>
      </c>
      <c r="H2994" s="6">
        <f t="shared" si="46"/>
        <v>759.9</v>
      </c>
    </row>
    <row r="2995" spans="1:8" x14ac:dyDescent="0.2">
      <c r="A2995" s="2" t="s">
        <v>3082</v>
      </c>
      <c r="B2995" s="2" t="s">
        <v>3026</v>
      </c>
      <c r="C2995" s="2" t="s">
        <v>118</v>
      </c>
      <c r="D2995" s="3">
        <v>4038</v>
      </c>
      <c r="E2995" s="4" t="s">
        <v>24</v>
      </c>
      <c r="F2995" s="5">
        <v>0.4</v>
      </c>
      <c r="G2995" s="4" t="s">
        <v>25</v>
      </c>
      <c r="H2995" s="6">
        <f t="shared" si="46"/>
        <v>1615.2</v>
      </c>
    </row>
    <row r="2996" spans="1:8" x14ac:dyDescent="0.2">
      <c r="A2996" s="2" t="s">
        <v>3083</v>
      </c>
      <c r="B2996" s="2" t="s">
        <v>3026</v>
      </c>
      <c r="C2996" s="2" t="s">
        <v>27</v>
      </c>
      <c r="D2996" s="3">
        <v>3432</v>
      </c>
      <c r="E2996" s="4" t="s">
        <v>20</v>
      </c>
      <c r="F2996" s="5">
        <v>1.83</v>
      </c>
      <c r="G2996" s="4" t="s">
        <v>21</v>
      </c>
      <c r="H2996" s="6">
        <f t="shared" si="46"/>
        <v>6280.56</v>
      </c>
    </row>
    <row r="2997" spans="1:8" x14ac:dyDescent="0.2">
      <c r="A2997" s="2" t="s">
        <v>3084</v>
      </c>
      <c r="B2997" s="2" t="s">
        <v>3026</v>
      </c>
      <c r="C2997" s="2" t="s">
        <v>71</v>
      </c>
      <c r="D2997" s="3">
        <v>3540</v>
      </c>
      <c r="E2997" s="4" t="s">
        <v>72</v>
      </c>
      <c r="F2997" s="5">
        <v>2502.38</v>
      </c>
      <c r="G2997" s="4" t="s">
        <v>73</v>
      </c>
      <c r="H2997" s="6">
        <f t="shared" si="46"/>
        <v>8858425.2000000011</v>
      </c>
    </row>
    <row r="2998" spans="1:8" x14ac:dyDescent="0.2">
      <c r="A2998" s="2" t="s">
        <v>3085</v>
      </c>
      <c r="B2998" s="2" t="s">
        <v>3026</v>
      </c>
      <c r="C2998" s="2" t="s">
        <v>19</v>
      </c>
      <c r="D2998" s="3">
        <v>1536</v>
      </c>
      <c r="E2998" s="4" t="s">
        <v>20</v>
      </c>
      <c r="F2998" s="5">
        <v>1.52</v>
      </c>
      <c r="G2998" s="4" t="s">
        <v>21</v>
      </c>
      <c r="H2998" s="6">
        <f t="shared" si="46"/>
        <v>2334.7200000000003</v>
      </c>
    </row>
    <row r="2999" spans="1:8" x14ac:dyDescent="0.2">
      <c r="A2999" s="2" t="s">
        <v>3086</v>
      </c>
      <c r="B2999" s="2" t="s">
        <v>3026</v>
      </c>
      <c r="C2999" s="2" t="s">
        <v>44</v>
      </c>
      <c r="D2999" s="3">
        <v>3995</v>
      </c>
      <c r="E2999" s="4" t="s">
        <v>24</v>
      </c>
      <c r="F2999" s="5">
        <v>1.03</v>
      </c>
      <c r="G2999" s="4" t="s">
        <v>25</v>
      </c>
      <c r="H2999" s="6">
        <f t="shared" si="46"/>
        <v>4114.8500000000004</v>
      </c>
    </row>
    <row r="3000" spans="1:8" x14ac:dyDescent="0.2">
      <c r="A3000" s="2" t="s">
        <v>3087</v>
      </c>
      <c r="B3000" s="2" t="s">
        <v>3026</v>
      </c>
      <c r="C3000" s="2" t="s">
        <v>50</v>
      </c>
      <c r="D3000" s="3">
        <v>3701</v>
      </c>
      <c r="E3000" s="4" t="s">
        <v>20</v>
      </c>
      <c r="F3000" s="5">
        <v>1.04</v>
      </c>
      <c r="G3000" s="4" t="s">
        <v>21</v>
      </c>
      <c r="H3000" s="6">
        <f t="shared" si="46"/>
        <v>3849.04</v>
      </c>
    </row>
    <row r="3001" spans="1:8" x14ac:dyDescent="0.2">
      <c r="A3001" s="2" t="s">
        <v>3088</v>
      </c>
      <c r="B3001" s="2" t="s">
        <v>3026</v>
      </c>
      <c r="C3001" s="2" t="s">
        <v>44</v>
      </c>
      <c r="D3001" s="3">
        <v>1530</v>
      </c>
      <c r="E3001" s="4" t="s">
        <v>24</v>
      </c>
      <c r="F3001" s="5">
        <v>1.04</v>
      </c>
      <c r="G3001" s="4" t="s">
        <v>25</v>
      </c>
      <c r="H3001" s="6">
        <f t="shared" si="46"/>
        <v>1591.2</v>
      </c>
    </row>
    <row r="3002" spans="1:8" x14ac:dyDescent="0.2">
      <c r="A3002" s="2" t="s">
        <v>3089</v>
      </c>
      <c r="B3002" s="2" t="s">
        <v>3026</v>
      </c>
      <c r="C3002" s="2" t="s">
        <v>118</v>
      </c>
      <c r="D3002" s="3">
        <v>1581</v>
      </c>
      <c r="E3002" s="4" t="s">
        <v>24</v>
      </c>
      <c r="F3002" s="5">
        <v>0.57999999999999996</v>
      </c>
      <c r="G3002" s="4" t="s">
        <v>25</v>
      </c>
      <c r="H3002" s="6">
        <f t="shared" si="46"/>
        <v>916.9799999999999</v>
      </c>
    </row>
    <row r="3003" spans="1:8" x14ac:dyDescent="0.2">
      <c r="A3003" s="2" t="s">
        <v>3090</v>
      </c>
      <c r="B3003" s="2" t="s">
        <v>3026</v>
      </c>
      <c r="C3003" s="2" t="s">
        <v>52</v>
      </c>
      <c r="D3003" s="3">
        <v>3620</v>
      </c>
      <c r="E3003" s="4" t="s">
        <v>53</v>
      </c>
      <c r="F3003" s="5">
        <v>12.13</v>
      </c>
      <c r="G3003" s="4" t="s">
        <v>54</v>
      </c>
      <c r="H3003" s="6">
        <f t="shared" si="46"/>
        <v>43910.600000000006</v>
      </c>
    </row>
    <row r="3004" spans="1:8" x14ac:dyDescent="0.2">
      <c r="A3004" s="2" t="s">
        <v>3091</v>
      </c>
      <c r="B3004" s="2" t="s">
        <v>3026</v>
      </c>
      <c r="C3004" s="2" t="s">
        <v>147</v>
      </c>
      <c r="D3004" s="3">
        <v>904</v>
      </c>
      <c r="E3004" s="4" t="s">
        <v>53</v>
      </c>
      <c r="F3004" s="5">
        <v>14.95</v>
      </c>
      <c r="G3004" s="4" t="s">
        <v>54</v>
      </c>
      <c r="H3004" s="6">
        <f t="shared" si="46"/>
        <v>13514.8</v>
      </c>
    </row>
    <row r="3005" spans="1:8" x14ac:dyDescent="0.2">
      <c r="A3005" s="2" t="s">
        <v>3092</v>
      </c>
      <c r="B3005" s="2" t="s">
        <v>3026</v>
      </c>
      <c r="C3005" s="2" t="s">
        <v>118</v>
      </c>
      <c r="D3005" s="3">
        <v>663</v>
      </c>
      <c r="E3005" s="4" t="s">
        <v>24</v>
      </c>
      <c r="F3005" s="5">
        <v>0.61</v>
      </c>
      <c r="G3005" s="4" t="s">
        <v>25</v>
      </c>
      <c r="H3005" s="6">
        <f t="shared" si="46"/>
        <v>404.43</v>
      </c>
    </row>
    <row r="3006" spans="1:8" x14ac:dyDescent="0.2">
      <c r="A3006" s="2" t="s">
        <v>3093</v>
      </c>
      <c r="B3006" s="2" t="s">
        <v>3026</v>
      </c>
      <c r="C3006" s="2" t="s">
        <v>67</v>
      </c>
      <c r="D3006" s="3">
        <v>1031</v>
      </c>
      <c r="E3006" s="4" t="s">
        <v>24</v>
      </c>
      <c r="F3006" s="5">
        <v>0.38</v>
      </c>
      <c r="G3006" s="4" t="s">
        <v>25</v>
      </c>
      <c r="H3006" s="6">
        <f t="shared" si="46"/>
        <v>391.78000000000003</v>
      </c>
    </row>
    <row r="3007" spans="1:8" x14ac:dyDescent="0.2">
      <c r="A3007" s="2" t="s">
        <v>3094</v>
      </c>
      <c r="B3007" s="2" t="s">
        <v>3026</v>
      </c>
      <c r="C3007" s="2" t="s">
        <v>57</v>
      </c>
      <c r="D3007" s="3">
        <v>253</v>
      </c>
      <c r="E3007" s="4" t="s">
        <v>20</v>
      </c>
      <c r="F3007" s="5">
        <v>0.83</v>
      </c>
      <c r="G3007" s="4" t="s">
        <v>21</v>
      </c>
      <c r="H3007" s="6">
        <f t="shared" si="46"/>
        <v>209.98999999999998</v>
      </c>
    </row>
    <row r="3008" spans="1:8" x14ac:dyDescent="0.2">
      <c r="A3008" s="2" t="s">
        <v>3095</v>
      </c>
      <c r="B3008" s="2" t="s">
        <v>3026</v>
      </c>
      <c r="C3008" s="2" t="s">
        <v>48</v>
      </c>
      <c r="D3008" s="3">
        <v>3984</v>
      </c>
      <c r="E3008" s="4" t="s">
        <v>24</v>
      </c>
      <c r="F3008" s="5">
        <v>0.15</v>
      </c>
      <c r="G3008" s="4" t="s">
        <v>25</v>
      </c>
      <c r="H3008" s="6">
        <f t="shared" si="46"/>
        <v>597.6</v>
      </c>
    </row>
    <row r="3009" spans="1:8" x14ac:dyDescent="0.2">
      <c r="A3009" s="2" t="s">
        <v>3096</v>
      </c>
      <c r="B3009" s="2" t="s">
        <v>3026</v>
      </c>
      <c r="C3009" s="2" t="s">
        <v>50</v>
      </c>
      <c r="D3009" s="3">
        <v>87</v>
      </c>
      <c r="E3009" s="4" t="s">
        <v>20</v>
      </c>
      <c r="F3009" s="5">
        <v>0.74</v>
      </c>
      <c r="G3009" s="4" t="s">
        <v>21</v>
      </c>
      <c r="H3009" s="6">
        <f t="shared" si="46"/>
        <v>64.38</v>
      </c>
    </row>
    <row r="3010" spans="1:8" x14ac:dyDescent="0.2">
      <c r="A3010" s="2" t="s">
        <v>3097</v>
      </c>
      <c r="B3010" s="2" t="s">
        <v>3026</v>
      </c>
      <c r="C3010" s="2" t="s">
        <v>33</v>
      </c>
      <c r="D3010" s="3">
        <v>4781</v>
      </c>
      <c r="E3010" s="4" t="s">
        <v>34</v>
      </c>
      <c r="F3010" s="5">
        <v>5.47</v>
      </c>
      <c r="G3010" s="4" t="s">
        <v>35</v>
      </c>
      <c r="H3010" s="6">
        <f t="shared" ref="H3010:H3073" si="47">D3010*F3010</f>
        <v>26152.07</v>
      </c>
    </row>
    <row r="3011" spans="1:8" x14ac:dyDescent="0.2">
      <c r="A3011" s="2" t="s">
        <v>3098</v>
      </c>
      <c r="B3011" s="2" t="s">
        <v>3026</v>
      </c>
      <c r="C3011" s="2" t="s">
        <v>37</v>
      </c>
      <c r="D3011" s="3">
        <v>803</v>
      </c>
      <c r="E3011" s="4" t="s">
        <v>38</v>
      </c>
      <c r="F3011" s="5">
        <v>2.63</v>
      </c>
      <c r="G3011" s="4" t="s">
        <v>39</v>
      </c>
      <c r="H3011" s="6">
        <f t="shared" si="47"/>
        <v>2111.89</v>
      </c>
    </row>
    <row r="3012" spans="1:8" x14ac:dyDescent="0.2">
      <c r="A3012" s="2" t="s">
        <v>3099</v>
      </c>
      <c r="B3012" s="2" t="s">
        <v>3026</v>
      </c>
      <c r="C3012" s="2" t="s">
        <v>33</v>
      </c>
      <c r="D3012" s="3">
        <v>3087</v>
      </c>
      <c r="E3012" s="4" t="s">
        <v>34</v>
      </c>
      <c r="F3012" s="5">
        <v>5.01</v>
      </c>
      <c r="G3012" s="4" t="s">
        <v>35</v>
      </c>
      <c r="H3012" s="6">
        <f t="shared" si="47"/>
        <v>15465.869999999999</v>
      </c>
    </row>
    <row r="3013" spans="1:8" x14ac:dyDescent="0.2">
      <c r="A3013" s="2" t="s">
        <v>3100</v>
      </c>
      <c r="B3013" s="2" t="s">
        <v>3026</v>
      </c>
      <c r="C3013" s="2" t="s">
        <v>86</v>
      </c>
      <c r="D3013" s="3">
        <v>3990</v>
      </c>
      <c r="E3013" s="4" t="s">
        <v>72</v>
      </c>
      <c r="F3013" s="5">
        <v>8462.52</v>
      </c>
      <c r="G3013" s="4" t="s">
        <v>73</v>
      </c>
      <c r="H3013" s="6">
        <f t="shared" si="47"/>
        <v>33765454.800000004</v>
      </c>
    </row>
    <row r="3014" spans="1:8" x14ac:dyDescent="0.2">
      <c r="A3014" s="2" t="s">
        <v>3101</v>
      </c>
      <c r="B3014" s="2" t="s">
        <v>3026</v>
      </c>
      <c r="C3014" s="2" t="s">
        <v>57</v>
      </c>
      <c r="D3014" s="3">
        <v>4961</v>
      </c>
      <c r="E3014" s="4" t="s">
        <v>20</v>
      </c>
      <c r="F3014" s="5">
        <v>0.77</v>
      </c>
      <c r="G3014" s="4" t="s">
        <v>21</v>
      </c>
      <c r="H3014" s="6">
        <f t="shared" si="47"/>
        <v>3819.9700000000003</v>
      </c>
    </row>
    <row r="3015" spans="1:8" x14ac:dyDescent="0.2">
      <c r="A3015" s="2" t="s">
        <v>3102</v>
      </c>
      <c r="B3015" s="2" t="s">
        <v>3026</v>
      </c>
      <c r="C3015" s="2" t="s">
        <v>19</v>
      </c>
      <c r="D3015" s="3">
        <v>2820</v>
      </c>
      <c r="E3015" s="4" t="s">
        <v>20</v>
      </c>
      <c r="F3015" s="5">
        <v>1.7</v>
      </c>
      <c r="G3015" s="4" t="s">
        <v>21</v>
      </c>
      <c r="H3015" s="6">
        <f t="shared" si="47"/>
        <v>4794</v>
      </c>
    </row>
    <row r="3016" spans="1:8" x14ac:dyDescent="0.2">
      <c r="A3016" s="2" t="s">
        <v>3103</v>
      </c>
      <c r="B3016" s="2" t="s">
        <v>3026</v>
      </c>
      <c r="C3016" s="2" t="s">
        <v>42</v>
      </c>
      <c r="D3016" s="3">
        <v>2969</v>
      </c>
      <c r="E3016" s="4" t="s">
        <v>24</v>
      </c>
      <c r="F3016" s="5">
        <v>5.5</v>
      </c>
      <c r="G3016" s="4" t="s">
        <v>25</v>
      </c>
      <c r="H3016" s="6">
        <f t="shared" si="47"/>
        <v>16329.5</v>
      </c>
    </row>
    <row r="3017" spans="1:8" x14ac:dyDescent="0.2">
      <c r="A3017" s="2" t="s">
        <v>3104</v>
      </c>
      <c r="B3017" s="2" t="s">
        <v>3026</v>
      </c>
      <c r="C3017" s="2" t="s">
        <v>67</v>
      </c>
      <c r="D3017" s="3">
        <v>478</v>
      </c>
      <c r="E3017" s="4" t="s">
        <v>24</v>
      </c>
      <c r="F3017" s="5">
        <v>0.59</v>
      </c>
      <c r="G3017" s="4" t="s">
        <v>25</v>
      </c>
      <c r="H3017" s="6">
        <f t="shared" si="47"/>
        <v>282.02</v>
      </c>
    </row>
    <row r="3018" spans="1:8" x14ac:dyDescent="0.2">
      <c r="A3018" s="2" t="s">
        <v>3105</v>
      </c>
      <c r="B3018" s="2" t="s">
        <v>3026</v>
      </c>
      <c r="C3018" s="2" t="s">
        <v>57</v>
      </c>
      <c r="D3018" s="3">
        <v>830</v>
      </c>
      <c r="E3018" s="4" t="s">
        <v>20</v>
      </c>
      <c r="F3018" s="5">
        <v>0.6</v>
      </c>
      <c r="G3018" s="4" t="s">
        <v>21</v>
      </c>
      <c r="H3018" s="6">
        <f t="shared" si="47"/>
        <v>498</v>
      </c>
    </row>
    <row r="3019" spans="1:8" x14ac:dyDescent="0.2">
      <c r="A3019" s="2" t="s">
        <v>3106</v>
      </c>
      <c r="B3019" s="2" t="s">
        <v>3026</v>
      </c>
      <c r="C3019" s="2" t="s">
        <v>67</v>
      </c>
      <c r="D3019" s="3">
        <v>1147</v>
      </c>
      <c r="E3019" s="4" t="s">
        <v>24</v>
      </c>
      <c r="F3019" s="5">
        <v>0.31</v>
      </c>
      <c r="G3019" s="4" t="s">
        <v>25</v>
      </c>
      <c r="H3019" s="6">
        <f t="shared" si="47"/>
        <v>355.57</v>
      </c>
    </row>
    <row r="3020" spans="1:8" x14ac:dyDescent="0.2">
      <c r="A3020" s="2" t="s">
        <v>3107</v>
      </c>
      <c r="B3020" s="2" t="s">
        <v>3026</v>
      </c>
      <c r="C3020" s="2" t="s">
        <v>50</v>
      </c>
      <c r="D3020" s="3">
        <v>4356</v>
      </c>
      <c r="E3020" s="4" t="s">
        <v>20</v>
      </c>
      <c r="F3020" s="5">
        <v>0.87</v>
      </c>
      <c r="G3020" s="4" t="s">
        <v>21</v>
      </c>
      <c r="H3020" s="6">
        <f t="shared" si="47"/>
        <v>3789.72</v>
      </c>
    </row>
    <row r="3021" spans="1:8" x14ac:dyDescent="0.2">
      <c r="A3021" s="2" t="s">
        <v>3108</v>
      </c>
      <c r="B3021" s="2" t="s">
        <v>3026</v>
      </c>
      <c r="C3021" s="2" t="s">
        <v>42</v>
      </c>
      <c r="D3021" s="3">
        <v>3028</v>
      </c>
      <c r="E3021" s="4" t="s">
        <v>24</v>
      </c>
      <c r="F3021" s="5">
        <v>4.8600000000000003</v>
      </c>
      <c r="G3021" s="4" t="s">
        <v>25</v>
      </c>
      <c r="H3021" s="6">
        <f t="shared" si="47"/>
        <v>14716.080000000002</v>
      </c>
    </row>
    <row r="3022" spans="1:8" x14ac:dyDescent="0.2">
      <c r="A3022" s="2" t="s">
        <v>3109</v>
      </c>
      <c r="B3022" s="2" t="s">
        <v>3026</v>
      </c>
      <c r="C3022" s="2" t="s">
        <v>48</v>
      </c>
      <c r="D3022" s="3">
        <v>4228</v>
      </c>
      <c r="E3022" s="4" t="s">
        <v>24</v>
      </c>
      <c r="F3022" s="5">
        <v>0.11</v>
      </c>
      <c r="G3022" s="4" t="s">
        <v>25</v>
      </c>
      <c r="H3022" s="6">
        <f t="shared" si="47"/>
        <v>465.08</v>
      </c>
    </row>
    <row r="3023" spans="1:8" x14ac:dyDescent="0.2">
      <c r="A3023" s="2" t="s">
        <v>3110</v>
      </c>
      <c r="B3023" s="2" t="s">
        <v>3026</v>
      </c>
      <c r="C3023" s="2" t="s">
        <v>44</v>
      </c>
      <c r="D3023" s="3">
        <v>35</v>
      </c>
      <c r="E3023" s="4" t="s">
        <v>24</v>
      </c>
      <c r="F3023" s="5">
        <v>1.59</v>
      </c>
      <c r="G3023" s="4" t="s">
        <v>25</v>
      </c>
      <c r="H3023" s="6">
        <f t="shared" si="47"/>
        <v>55.650000000000006</v>
      </c>
    </row>
    <row r="3024" spans="1:8" x14ac:dyDescent="0.2">
      <c r="A3024" s="2" t="s">
        <v>3111</v>
      </c>
      <c r="B3024" s="2" t="s">
        <v>3026</v>
      </c>
      <c r="C3024" s="2" t="s">
        <v>57</v>
      </c>
      <c r="D3024" s="3">
        <v>146</v>
      </c>
      <c r="E3024" s="4" t="s">
        <v>20</v>
      </c>
      <c r="F3024" s="5">
        <v>0.85</v>
      </c>
      <c r="G3024" s="4" t="s">
        <v>21</v>
      </c>
      <c r="H3024" s="6">
        <f t="shared" si="47"/>
        <v>124.1</v>
      </c>
    </row>
    <row r="3025" spans="1:8" x14ac:dyDescent="0.2">
      <c r="A3025" s="2" t="s">
        <v>3112</v>
      </c>
      <c r="B3025" s="2" t="s">
        <v>3026</v>
      </c>
      <c r="C3025" s="2" t="s">
        <v>37</v>
      </c>
      <c r="D3025" s="3">
        <v>2676</v>
      </c>
      <c r="E3025" s="4" t="s">
        <v>38</v>
      </c>
      <c r="F3025" s="5">
        <v>4.03</v>
      </c>
      <c r="G3025" s="4" t="s">
        <v>39</v>
      </c>
      <c r="H3025" s="6">
        <f t="shared" si="47"/>
        <v>10784.28</v>
      </c>
    </row>
    <row r="3026" spans="1:8" x14ac:dyDescent="0.2">
      <c r="A3026" s="2" t="s">
        <v>3113</v>
      </c>
      <c r="B3026" s="2" t="s">
        <v>3026</v>
      </c>
      <c r="C3026" s="2" t="s">
        <v>42</v>
      </c>
      <c r="D3026" s="3">
        <v>4980</v>
      </c>
      <c r="E3026" s="4" t="s">
        <v>24</v>
      </c>
      <c r="F3026" s="5">
        <v>4.95</v>
      </c>
      <c r="G3026" s="4" t="s">
        <v>25</v>
      </c>
      <c r="H3026" s="6">
        <f t="shared" si="47"/>
        <v>24651</v>
      </c>
    </row>
    <row r="3027" spans="1:8" x14ac:dyDescent="0.2">
      <c r="A3027" s="2" t="s">
        <v>3114</v>
      </c>
      <c r="B3027" s="2" t="s">
        <v>3026</v>
      </c>
      <c r="C3027" s="2" t="s">
        <v>147</v>
      </c>
      <c r="D3027" s="3">
        <v>676</v>
      </c>
      <c r="E3027" s="4" t="s">
        <v>53</v>
      </c>
      <c r="F3027" s="5">
        <v>10.79</v>
      </c>
      <c r="G3027" s="4" t="s">
        <v>54</v>
      </c>
      <c r="H3027" s="6">
        <f t="shared" si="47"/>
        <v>7294.0399999999991</v>
      </c>
    </row>
    <row r="3028" spans="1:8" x14ac:dyDescent="0.2">
      <c r="A3028" s="2" t="s">
        <v>3115</v>
      </c>
      <c r="B3028" s="2" t="s">
        <v>3026</v>
      </c>
      <c r="C3028" s="2" t="s">
        <v>48</v>
      </c>
      <c r="D3028" s="3">
        <v>832</v>
      </c>
      <c r="E3028" s="4" t="s">
        <v>24</v>
      </c>
      <c r="F3028" s="5">
        <v>0.16</v>
      </c>
      <c r="G3028" s="4" t="s">
        <v>25</v>
      </c>
      <c r="H3028" s="6">
        <f t="shared" si="47"/>
        <v>133.12</v>
      </c>
    </row>
    <row r="3029" spans="1:8" x14ac:dyDescent="0.2">
      <c r="A3029" s="2" t="s">
        <v>3116</v>
      </c>
      <c r="B3029" s="2" t="s">
        <v>3026</v>
      </c>
      <c r="C3029" s="2" t="s">
        <v>71</v>
      </c>
      <c r="D3029" s="3">
        <v>4983</v>
      </c>
      <c r="E3029" s="4" t="s">
        <v>72</v>
      </c>
      <c r="F3029" s="5">
        <v>2517.0500000000002</v>
      </c>
      <c r="G3029" s="4" t="s">
        <v>73</v>
      </c>
      <c r="H3029" s="6">
        <f t="shared" si="47"/>
        <v>12542460.15</v>
      </c>
    </row>
    <row r="3030" spans="1:8" x14ac:dyDescent="0.2">
      <c r="A3030" s="2" t="s">
        <v>3117</v>
      </c>
      <c r="B3030" s="2" t="s">
        <v>3026</v>
      </c>
      <c r="C3030" s="2" t="s">
        <v>89</v>
      </c>
      <c r="D3030" s="3">
        <v>4270</v>
      </c>
      <c r="E3030" s="4" t="s">
        <v>30</v>
      </c>
      <c r="F3030" s="5">
        <v>2.85</v>
      </c>
      <c r="G3030" s="4" t="s">
        <v>31</v>
      </c>
      <c r="H3030" s="6">
        <f t="shared" si="47"/>
        <v>12169.5</v>
      </c>
    </row>
    <row r="3031" spans="1:8" x14ac:dyDescent="0.2">
      <c r="A3031" s="2" t="s">
        <v>3118</v>
      </c>
      <c r="B3031" s="2" t="s">
        <v>3026</v>
      </c>
      <c r="C3031" s="2" t="s">
        <v>78</v>
      </c>
      <c r="D3031" s="3">
        <v>270</v>
      </c>
      <c r="E3031" s="4" t="s">
        <v>38</v>
      </c>
      <c r="F3031" s="5">
        <v>1.72</v>
      </c>
      <c r="G3031" s="4" t="s">
        <v>39</v>
      </c>
      <c r="H3031" s="6">
        <f t="shared" si="47"/>
        <v>464.4</v>
      </c>
    </row>
    <row r="3032" spans="1:8" x14ac:dyDescent="0.2">
      <c r="A3032" s="2" t="s">
        <v>3119</v>
      </c>
      <c r="B3032" s="2" t="s">
        <v>3026</v>
      </c>
      <c r="C3032" s="2" t="s">
        <v>27</v>
      </c>
      <c r="D3032" s="3">
        <v>2478</v>
      </c>
      <c r="E3032" s="4" t="s">
        <v>20</v>
      </c>
      <c r="F3032" s="5">
        <v>2.2000000000000002</v>
      </c>
      <c r="G3032" s="4" t="s">
        <v>21</v>
      </c>
      <c r="H3032" s="6">
        <f t="shared" si="47"/>
        <v>5451.6</v>
      </c>
    </row>
    <row r="3033" spans="1:8" x14ac:dyDescent="0.2">
      <c r="A3033" s="2" t="s">
        <v>3120</v>
      </c>
      <c r="B3033" s="2" t="s">
        <v>3026</v>
      </c>
      <c r="C3033" s="2" t="s">
        <v>29</v>
      </c>
      <c r="D3033" s="3">
        <v>3834</v>
      </c>
      <c r="E3033" s="4" t="s">
        <v>30</v>
      </c>
      <c r="F3033" s="5">
        <v>1.2</v>
      </c>
      <c r="G3033" s="4" t="s">
        <v>31</v>
      </c>
      <c r="H3033" s="6">
        <f t="shared" si="47"/>
        <v>4600.8</v>
      </c>
    </row>
    <row r="3034" spans="1:8" x14ac:dyDescent="0.2">
      <c r="A3034" s="2" t="s">
        <v>3121</v>
      </c>
      <c r="B3034" s="2" t="s">
        <v>3026</v>
      </c>
      <c r="C3034" s="2" t="s">
        <v>23</v>
      </c>
      <c r="D3034" s="3">
        <v>957</v>
      </c>
      <c r="E3034" s="4" t="s">
        <v>24</v>
      </c>
      <c r="F3034" s="5">
        <v>14.89</v>
      </c>
      <c r="G3034" s="4" t="s">
        <v>25</v>
      </c>
      <c r="H3034" s="6">
        <f t="shared" si="47"/>
        <v>14249.730000000001</v>
      </c>
    </row>
    <row r="3035" spans="1:8" x14ac:dyDescent="0.2">
      <c r="A3035" s="2" t="s">
        <v>3122</v>
      </c>
      <c r="B3035" s="2" t="s">
        <v>3026</v>
      </c>
      <c r="C3035" s="2" t="s">
        <v>29</v>
      </c>
      <c r="D3035" s="3">
        <v>1983</v>
      </c>
      <c r="E3035" s="4" t="s">
        <v>30</v>
      </c>
      <c r="F3035" s="5">
        <v>1.29</v>
      </c>
      <c r="G3035" s="4" t="s">
        <v>31</v>
      </c>
      <c r="H3035" s="6">
        <f t="shared" si="47"/>
        <v>2558.0700000000002</v>
      </c>
    </row>
    <row r="3036" spans="1:8" x14ac:dyDescent="0.2">
      <c r="A3036" s="2" t="s">
        <v>3123</v>
      </c>
      <c r="B3036" s="2" t="s">
        <v>3026</v>
      </c>
      <c r="C3036" s="2" t="s">
        <v>118</v>
      </c>
      <c r="D3036" s="3">
        <v>742</v>
      </c>
      <c r="E3036" s="4" t="s">
        <v>24</v>
      </c>
      <c r="F3036" s="5">
        <v>0.47</v>
      </c>
      <c r="G3036" s="4" t="s">
        <v>25</v>
      </c>
      <c r="H3036" s="6">
        <f t="shared" si="47"/>
        <v>348.73999999999995</v>
      </c>
    </row>
    <row r="3037" spans="1:8" x14ac:dyDescent="0.2">
      <c r="A3037" s="2" t="s">
        <v>3124</v>
      </c>
      <c r="B3037" s="2" t="s">
        <v>3026</v>
      </c>
      <c r="C3037" s="2" t="s">
        <v>33</v>
      </c>
      <c r="D3037" s="3">
        <v>1322</v>
      </c>
      <c r="E3037" s="4" t="s">
        <v>34</v>
      </c>
      <c r="F3037" s="5">
        <v>5.82</v>
      </c>
      <c r="G3037" s="4" t="s">
        <v>35</v>
      </c>
      <c r="H3037" s="6">
        <f t="shared" si="47"/>
        <v>7694.04</v>
      </c>
    </row>
    <row r="3038" spans="1:8" x14ac:dyDescent="0.2">
      <c r="A3038" s="2" t="s">
        <v>3125</v>
      </c>
      <c r="B3038" s="2" t="s">
        <v>3026</v>
      </c>
      <c r="C3038" s="2" t="s">
        <v>57</v>
      </c>
      <c r="D3038" s="3">
        <v>3151</v>
      </c>
      <c r="E3038" s="4" t="s">
        <v>20</v>
      </c>
      <c r="F3038" s="5">
        <v>0.91</v>
      </c>
      <c r="G3038" s="4" t="s">
        <v>21</v>
      </c>
      <c r="H3038" s="6">
        <f t="shared" si="47"/>
        <v>2867.4100000000003</v>
      </c>
    </row>
    <row r="3039" spans="1:8" x14ac:dyDescent="0.2">
      <c r="A3039" s="2" t="s">
        <v>3126</v>
      </c>
      <c r="B3039" s="2" t="s">
        <v>3026</v>
      </c>
      <c r="C3039" s="2" t="s">
        <v>42</v>
      </c>
      <c r="D3039" s="3">
        <v>2120</v>
      </c>
      <c r="E3039" s="4" t="s">
        <v>24</v>
      </c>
      <c r="F3039" s="5">
        <v>5.5</v>
      </c>
      <c r="G3039" s="4" t="s">
        <v>25</v>
      </c>
      <c r="H3039" s="6">
        <f t="shared" si="47"/>
        <v>11660</v>
      </c>
    </row>
    <row r="3040" spans="1:8" x14ac:dyDescent="0.2">
      <c r="A3040" s="2" t="s">
        <v>3127</v>
      </c>
      <c r="B3040" s="2" t="s">
        <v>3026</v>
      </c>
      <c r="C3040" s="2" t="s">
        <v>50</v>
      </c>
      <c r="D3040" s="3">
        <v>1122</v>
      </c>
      <c r="E3040" s="4" t="s">
        <v>20</v>
      </c>
      <c r="F3040" s="5">
        <v>1.25</v>
      </c>
      <c r="G3040" s="4" t="s">
        <v>21</v>
      </c>
      <c r="H3040" s="6">
        <f t="shared" si="47"/>
        <v>1402.5</v>
      </c>
    </row>
    <row r="3041" spans="1:8" x14ac:dyDescent="0.2">
      <c r="A3041" s="2" t="s">
        <v>3128</v>
      </c>
      <c r="B3041" s="2" t="s">
        <v>3026</v>
      </c>
      <c r="C3041" s="2" t="s">
        <v>48</v>
      </c>
      <c r="D3041" s="3">
        <v>750</v>
      </c>
      <c r="E3041" s="4" t="s">
        <v>24</v>
      </c>
      <c r="F3041" s="5">
        <v>0.17</v>
      </c>
      <c r="G3041" s="4" t="s">
        <v>25</v>
      </c>
      <c r="H3041" s="6">
        <f t="shared" si="47"/>
        <v>127.50000000000001</v>
      </c>
    </row>
    <row r="3042" spans="1:8" x14ac:dyDescent="0.2">
      <c r="A3042" s="2" t="s">
        <v>3129</v>
      </c>
      <c r="B3042" s="2" t="s">
        <v>3026</v>
      </c>
      <c r="C3042" s="2" t="s">
        <v>57</v>
      </c>
      <c r="D3042" s="3">
        <v>1843</v>
      </c>
      <c r="E3042" s="4" t="s">
        <v>20</v>
      </c>
      <c r="F3042" s="5">
        <v>0.97</v>
      </c>
      <c r="G3042" s="4" t="s">
        <v>21</v>
      </c>
      <c r="H3042" s="6">
        <f t="shared" si="47"/>
        <v>1787.71</v>
      </c>
    </row>
    <row r="3043" spans="1:8" x14ac:dyDescent="0.2">
      <c r="A3043" s="2" t="s">
        <v>3130</v>
      </c>
      <c r="B3043" s="2" t="s">
        <v>3026</v>
      </c>
      <c r="C3043" s="2" t="s">
        <v>147</v>
      </c>
      <c r="D3043" s="3">
        <v>539</v>
      </c>
      <c r="E3043" s="4" t="s">
        <v>53</v>
      </c>
      <c r="F3043" s="5">
        <v>13.15</v>
      </c>
      <c r="G3043" s="4" t="s">
        <v>54</v>
      </c>
      <c r="H3043" s="6">
        <f t="shared" si="47"/>
        <v>7087.85</v>
      </c>
    </row>
    <row r="3044" spans="1:8" x14ac:dyDescent="0.2">
      <c r="A3044" s="2" t="s">
        <v>3131</v>
      </c>
      <c r="B3044" s="2" t="s">
        <v>3026</v>
      </c>
      <c r="C3044" s="2" t="s">
        <v>67</v>
      </c>
      <c r="D3044" s="3">
        <v>3136</v>
      </c>
      <c r="E3044" s="4" t="s">
        <v>24</v>
      </c>
      <c r="F3044" s="5">
        <v>0.5</v>
      </c>
      <c r="G3044" s="4" t="s">
        <v>25</v>
      </c>
      <c r="H3044" s="6">
        <f t="shared" si="47"/>
        <v>1568</v>
      </c>
    </row>
    <row r="3045" spans="1:8" x14ac:dyDescent="0.2">
      <c r="A3045" s="2" t="s">
        <v>3132</v>
      </c>
      <c r="B3045" s="2" t="s">
        <v>3026</v>
      </c>
      <c r="C3045" s="2" t="s">
        <v>29</v>
      </c>
      <c r="D3045" s="3">
        <v>3589</v>
      </c>
      <c r="E3045" s="4" t="s">
        <v>30</v>
      </c>
      <c r="F3045" s="5">
        <v>1.97</v>
      </c>
      <c r="G3045" s="4" t="s">
        <v>31</v>
      </c>
      <c r="H3045" s="6">
        <f t="shared" si="47"/>
        <v>7070.33</v>
      </c>
    </row>
    <row r="3046" spans="1:8" x14ac:dyDescent="0.2">
      <c r="A3046" s="2" t="s">
        <v>3133</v>
      </c>
      <c r="B3046" s="2" t="s">
        <v>3026</v>
      </c>
      <c r="C3046" s="2" t="s">
        <v>42</v>
      </c>
      <c r="D3046" s="3">
        <v>2132</v>
      </c>
      <c r="E3046" s="4" t="s">
        <v>24</v>
      </c>
      <c r="F3046" s="5">
        <v>3.85</v>
      </c>
      <c r="G3046" s="4" t="s">
        <v>25</v>
      </c>
      <c r="H3046" s="6">
        <f t="shared" si="47"/>
        <v>8208.2000000000007</v>
      </c>
    </row>
    <row r="3047" spans="1:8" x14ac:dyDescent="0.2">
      <c r="A3047" s="2" t="s">
        <v>3134</v>
      </c>
      <c r="B3047" s="2" t="s">
        <v>3026</v>
      </c>
      <c r="C3047" s="2" t="s">
        <v>27</v>
      </c>
      <c r="D3047" s="3">
        <v>922</v>
      </c>
      <c r="E3047" s="4" t="s">
        <v>20</v>
      </c>
      <c r="F3047" s="5">
        <v>1.31</v>
      </c>
      <c r="G3047" s="4" t="s">
        <v>21</v>
      </c>
      <c r="H3047" s="6">
        <f t="shared" si="47"/>
        <v>1207.82</v>
      </c>
    </row>
    <row r="3048" spans="1:8" x14ac:dyDescent="0.2">
      <c r="A3048" s="2" t="s">
        <v>3135</v>
      </c>
      <c r="B3048" s="2" t="s">
        <v>3026</v>
      </c>
      <c r="C3048" s="2" t="s">
        <v>46</v>
      </c>
      <c r="D3048" s="3">
        <v>1551</v>
      </c>
      <c r="E3048" s="4" t="s">
        <v>20</v>
      </c>
      <c r="F3048" s="5">
        <v>3.49</v>
      </c>
      <c r="G3048" s="4" t="s">
        <v>21</v>
      </c>
      <c r="H3048" s="6">
        <f t="shared" si="47"/>
        <v>5412.9900000000007</v>
      </c>
    </row>
    <row r="3049" spans="1:8" x14ac:dyDescent="0.2">
      <c r="A3049" s="2" t="s">
        <v>3136</v>
      </c>
      <c r="B3049" s="2" t="s">
        <v>3026</v>
      </c>
      <c r="C3049" s="2" t="s">
        <v>50</v>
      </c>
      <c r="D3049" s="3">
        <v>4702</v>
      </c>
      <c r="E3049" s="4" t="s">
        <v>20</v>
      </c>
      <c r="F3049" s="5">
        <v>0.92</v>
      </c>
      <c r="G3049" s="4" t="s">
        <v>21</v>
      </c>
      <c r="H3049" s="6">
        <f t="shared" si="47"/>
        <v>4325.84</v>
      </c>
    </row>
    <row r="3050" spans="1:8" x14ac:dyDescent="0.2">
      <c r="A3050" s="2" t="s">
        <v>3137</v>
      </c>
      <c r="B3050" s="2" t="s">
        <v>3026</v>
      </c>
      <c r="C3050" s="2" t="s">
        <v>57</v>
      </c>
      <c r="D3050" s="3">
        <v>3124</v>
      </c>
      <c r="E3050" s="4" t="s">
        <v>20</v>
      </c>
      <c r="F3050" s="5">
        <v>0.83</v>
      </c>
      <c r="G3050" s="4" t="s">
        <v>21</v>
      </c>
      <c r="H3050" s="6">
        <f t="shared" si="47"/>
        <v>2592.92</v>
      </c>
    </row>
    <row r="3051" spans="1:8" x14ac:dyDescent="0.2">
      <c r="A3051" s="2" t="s">
        <v>3138</v>
      </c>
      <c r="B3051" s="2" t="s">
        <v>3026</v>
      </c>
      <c r="C3051" s="2" t="s">
        <v>33</v>
      </c>
      <c r="D3051" s="3">
        <v>2556</v>
      </c>
      <c r="E3051" s="4" t="s">
        <v>34</v>
      </c>
      <c r="F3051" s="5">
        <v>3.65</v>
      </c>
      <c r="G3051" s="4" t="s">
        <v>35</v>
      </c>
      <c r="H3051" s="6">
        <f t="shared" si="47"/>
        <v>9329.4</v>
      </c>
    </row>
    <row r="3052" spans="1:8" x14ac:dyDescent="0.2">
      <c r="A3052" s="2" t="s">
        <v>3139</v>
      </c>
      <c r="B3052" s="2" t="s">
        <v>3140</v>
      </c>
      <c r="C3052" s="2" t="s">
        <v>29</v>
      </c>
      <c r="D3052" s="3">
        <v>1565</v>
      </c>
      <c r="E3052" s="4" t="s">
        <v>30</v>
      </c>
      <c r="F3052" s="5">
        <v>2.02</v>
      </c>
      <c r="G3052" s="4" t="s">
        <v>31</v>
      </c>
      <c r="H3052" s="6">
        <f t="shared" si="47"/>
        <v>3161.3</v>
      </c>
    </row>
    <row r="3053" spans="1:8" x14ac:dyDescent="0.2">
      <c r="A3053" s="2" t="s">
        <v>3141</v>
      </c>
      <c r="B3053" s="2" t="s">
        <v>3140</v>
      </c>
      <c r="C3053" s="2" t="s">
        <v>52</v>
      </c>
      <c r="D3053" s="3">
        <v>2628</v>
      </c>
      <c r="E3053" s="4" t="s">
        <v>53</v>
      </c>
      <c r="F3053" s="5">
        <v>12.86</v>
      </c>
      <c r="G3053" s="4" t="s">
        <v>54</v>
      </c>
      <c r="H3053" s="6">
        <f t="shared" si="47"/>
        <v>33796.080000000002</v>
      </c>
    </row>
    <row r="3054" spans="1:8" x14ac:dyDescent="0.2">
      <c r="A3054" s="2" t="s">
        <v>3142</v>
      </c>
      <c r="B3054" s="2" t="s">
        <v>3140</v>
      </c>
      <c r="C3054" s="2" t="s">
        <v>89</v>
      </c>
      <c r="D3054" s="3">
        <v>4267</v>
      </c>
      <c r="E3054" s="4" t="s">
        <v>30</v>
      </c>
      <c r="F3054" s="5">
        <v>2.6</v>
      </c>
      <c r="G3054" s="4" t="s">
        <v>31</v>
      </c>
      <c r="H3054" s="6">
        <f t="shared" si="47"/>
        <v>11094.2</v>
      </c>
    </row>
    <row r="3055" spans="1:8" x14ac:dyDescent="0.2">
      <c r="A3055" s="2" t="s">
        <v>3143</v>
      </c>
      <c r="B3055" s="2" t="s">
        <v>3140</v>
      </c>
      <c r="C3055" s="2" t="s">
        <v>46</v>
      </c>
      <c r="D3055" s="3">
        <v>1829</v>
      </c>
      <c r="E3055" s="4" t="s">
        <v>20</v>
      </c>
      <c r="F3055" s="5">
        <v>2.21</v>
      </c>
      <c r="G3055" s="4" t="s">
        <v>21</v>
      </c>
      <c r="H3055" s="6">
        <f t="shared" si="47"/>
        <v>4042.09</v>
      </c>
    </row>
    <row r="3056" spans="1:8" x14ac:dyDescent="0.2">
      <c r="A3056" s="2" t="s">
        <v>3144</v>
      </c>
      <c r="B3056" s="2" t="s">
        <v>3140</v>
      </c>
      <c r="C3056" s="2" t="s">
        <v>33</v>
      </c>
      <c r="D3056" s="3">
        <v>4419</v>
      </c>
      <c r="E3056" s="4" t="s">
        <v>34</v>
      </c>
      <c r="F3056" s="5">
        <v>5.63</v>
      </c>
      <c r="G3056" s="4" t="s">
        <v>35</v>
      </c>
      <c r="H3056" s="6">
        <f t="shared" si="47"/>
        <v>24878.97</v>
      </c>
    </row>
    <row r="3057" spans="1:8" x14ac:dyDescent="0.2">
      <c r="A3057" s="2" t="s">
        <v>3145</v>
      </c>
      <c r="B3057" s="2" t="s">
        <v>3140</v>
      </c>
      <c r="C3057" s="2" t="s">
        <v>57</v>
      </c>
      <c r="D3057" s="3">
        <v>1195</v>
      </c>
      <c r="E3057" s="4" t="s">
        <v>20</v>
      </c>
      <c r="F3057" s="5">
        <v>0.93</v>
      </c>
      <c r="G3057" s="4" t="s">
        <v>21</v>
      </c>
      <c r="H3057" s="6">
        <f t="shared" si="47"/>
        <v>1111.3500000000001</v>
      </c>
    </row>
    <row r="3058" spans="1:8" x14ac:dyDescent="0.2">
      <c r="A3058" s="2" t="s">
        <v>3146</v>
      </c>
      <c r="B3058" s="2" t="s">
        <v>3140</v>
      </c>
      <c r="C3058" s="2" t="s">
        <v>71</v>
      </c>
      <c r="D3058" s="3">
        <v>1803</v>
      </c>
      <c r="E3058" s="4" t="s">
        <v>72</v>
      </c>
      <c r="F3058" s="5">
        <v>2699.9</v>
      </c>
      <c r="G3058" s="4" t="s">
        <v>73</v>
      </c>
      <c r="H3058" s="6">
        <f t="shared" si="47"/>
        <v>4867919.7</v>
      </c>
    </row>
    <row r="3059" spans="1:8" x14ac:dyDescent="0.2">
      <c r="A3059" s="2" t="s">
        <v>3147</v>
      </c>
      <c r="B3059" s="2" t="s">
        <v>3140</v>
      </c>
      <c r="C3059" s="2" t="s">
        <v>23</v>
      </c>
      <c r="D3059" s="3">
        <v>1217</v>
      </c>
      <c r="E3059" s="4" t="s">
        <v>24</v>
      </c>
      <c r="F3059" s="5">
        <v>15.61</v>
      </c>
      <c r="G3059" s="4" t="s">
        <v>25</v>
      </c>
      <c r="H3059" s="6">
        <f t="shared" si="47"/>
        <v>18997.37</v>
      </c>
    </row>
    <row r="3060" spans="1:8" x14ac:dyDescent="0.2">
      <c r="A3060" s="2" t="s">
        <v>3148</v>
      </c>
      <c r="B3060" s="2" t="s">
        <v>3140</v>
      </c>
      <c r="C3060" s="2" t="s">
        <v>89</v>
      </c>
      <c r="D3060" s="3">
        <v>291</v>
      </c>
      <c r="E3060" s="4" t="s">
        <v>30</v>
      </c>
      <c r="F3060" s="5">
        <v>2.52</v>
      </c>
      <c r="G3060" s="4" t="s">
        <v>31</v>
      </c>
      <c r="H3060" s="6">
        <f t="shared" si="47"/>
        <v>733.32</v>
      </c>
    </row>
    <row r="3061" spans="1:8" x14ac:dyDescent="0.2">
      <c r="A3061" s="2" t="s">
        <v>3149</v>
      </c>
      <c r="B3061" s="2" t="s">
        <v>3140</v>
      </c>
      <c r="C3061" s="2" t="s">
        <v>71</v>
      </c>
      <c r="D3061" s="3">
        <v>4125</v>
      </c>
      <c r="E3061" s="4" t="s">
        <v>72</v>
      </c>
      <c r="F3061" s="5">
        <v>2994.2</v>
      </c>
      <c r="G3061" s="4" t="s">
        <v>73</v>
      </c>
      <c r="H3061" s="6">
        <f t="shared" si="47"/>
        <v>12351075</v>
      </c>
    </row>
    <row r="3062" spans="1:8" x14ac:dyDescent="0.2">
      <c r="A3062" s="2" t="s">
        <v>3150</v>
      </c>
      <c r="B3062" s="2" t="s">
        <v>3140</v>
      </c>
      <c r="C3062" s="2" t="s">
        <v>50</v>
      </c>
      <c r="D3062" s="3">
        <v>2250</v>
      </c>
      <c r="E3062" s="4" t="s">
        <v>20</v>
      </c>
      <c r="F3062" s="5">
        <v>1.3</v>
      </c>
      <c r="G3062" s="4" t="s">
        <v>21</v>
      </c>
      <c r="H3062" s="6">
        <f t="shared" si="47"/>
        <v>2925</v>
      </c>
    </row>
    <row r="3063" spans="1:8" x14ac:dyDescent="0.2">
      <c r="A3063" s="2" t="s">
        <v>3151</v>
      </c>
      <c r="B3063" s="2" t="s">
        <v>3140</v>
      </c>
      <c r="C3063" s="2" t="s">
        <v>46</v>
      </c>
      <c r="D3063" s="3">
        <v>3928</v>
      </c>
      <c r="E3063" s="4" t="s">
        <v>20</v>
      </c>
      <c r="F3063" s="5">
        <v>3.26</v>
      </c>
      <c r="G3063" s="4" t="s">
        <v>21</v>
      </c>
      <c r="H3063" s="6">
        <f t="shared" si="47"/>
        <v>12805.279999999999</v>
      </c>
    </row>
    <row r="3064" spans="1:8" x14ac:dyDescent="0.2">
      <c r="A3064" s="2" t="s">
        <v>3152</v>
      </c>
      <c r="B3064" s="2" t="s">
        <v>3140</v>
      </c>
      <c r="C3064" s="2" t="s">
        <v>44</v>
      </c>
      <c r="D3064" s="3">
        <v>4065</v>
      </c>
      <c r="E3064" s="4" t="s">
        <v>24</v>
      </c>
      <c r="F3064" s="5">
        <v>1.1000000000000001</v>
      </c>
      <c r="G3064" s="4" t="s">
        <v>25</v>
      </c>
      <c r="H3064" s="6">
        <f t="shared" si="47"/>
        <v>4471.5</v>
      </c>
    </row>
    <row r="3065" spans="1:8" x14ac:dyDescent="0.2">
      <c r="A3065" s="2" t="s">
        <v>3153</v>
      </c>
      <c r="B3065" s="2" t="s">
        <v>3140</v>
      </c>
      <c r="C3065" s="2" t="s">
        <v>67</v>
      </c>
      <c r="D3065" s="3">
        <v>491</v>
      </c>
      <c r="E3065" s="4" t="s">
        <v>24</v>
      </c>
      <c r="F3065" s="5">
        <v>0.59</v>
      </c>
      <c r="G3065" s="4" t="s">
        <v>25</v>
      </c>
      <c r="H3065" s="6">
        <f t="shared" si="47"/>
        <v>289.69</v>
      </c>
    </row>
    <row r="3066" spans="1:8" x14ac:dyDescent="0.2">
      <c r="A3066" s="2" t="s">
        <v>3154</v>
      </c>
      <c r="B3066" s="2" t="s">
        <v>3140</v>
      </c>
      <c r="C3066" s="2" t="s">
        <v>57</v>
      </c>
      <c r="D3066" s="3">
        <v>1260</v>
      </c>
      <c r="E3066" s="4" t="s">
        <v>20</v>
      </c>
      <c r="F3066" s="5">
        <v>0.93</v>
      </c>
      <c r="G3066" s="4" t="s">
        <v>21</v>
      </c>
      <c r="H3066" s="6">
        <f t="shared" si="47"/>
        <v>1171.8</v>
      </c>
    </row>
    <row r="3067" spans="1:8" x14ac:dyDescent="0.2">
      <c r="A3067" s="2" t="s">
        <v>3155</v>
      </c>
      <c r="B3067" s="2" t="s">
        <v>3140</v>
      </c>
      <c r="C3067" s="2" t="s">
        <v>44</v>
      </c>
      <c r="D3067" s="3">
        <v>1853</v>
      </c>
      <c r="E3067" s="4" t="s">
        <v>24</v>
      </c>
      <c r="F3067" s="5">
        <v>1.39</v>
      </c>
      <c r="G3067" s="4" t="s">
        <v>25</v>
      </c>
      <c r="H3067" s="6">
        <f t="shared" si="47"/>
        <v>2575.6699999999996</v>
      </c>
    </row>
    <row r="3068" spans="1:8" x14ac:dyDescent="0.2">
      <c r="A3068" s="2" t="s">
        <v>3156</v>
      </c>
      <c r="B3068" s="2" t="s">
        <v>3140</v>
      </c>
      <c r="C3068" s="2" t="s">
        <v>37</v>
      </c>
      <c r="D3068" s="3">
        <v>1476</v>
      </c>
      <c r="E3068" s="4" t="s">
        <v>38</v>
      </c>
      <c r="F3068" s="5">
        <v>4.57</v>
      </c>
      <c r="G3068" s="4" t="s">
        <v>39</v>
      </c>
      <c r="H3068" s="6">
        <f t="shared" si="47"/>
        <v>6745.3200000000006</v>
      </c>
    </row>
    <row r="3069" spans="1:8" x14ac:dyDescent="0.2">
      <c r="A3069" s="2" t="s">
        <v>3157</v>
      </c>
      <c r="B3069" s="2" t="s">
        <v>3140</v>
      </c>
      <c r="C3069" s="2" t="s">
        <v>67</v>
      </c>
      <c r="D3069" s="3">
        <v>2460</v>
      </c>
      <c r="E3069" s="4" t="s">
        <v>24</v>
      </c>
      <c r="F3069" s="5">
        <v>0.6</v>
      </c>
      <c r="G3069" s="4" t="s">
        <v>25</v>
      </c>
      <c r="H3069" s="6">
        <f t="shared" si="47"/>
        <v>1476</v>
      </c>
    </row>
    <row r="3070" spans="1:8" x14ac:dyDescent="0.2">
      <c r="A3070" s="2" t="s">
        <v>3158</v>
      </c>
      <c r="B3070" s="2" t="s">
        <v>3140</v>
      </c>
      <c r="C3070" s="2" t="s">
        <v>118</v>
      </c>
      <c r="D3070" s="3">
        <v>186</v>
      </c>
      <c r="E3070" s="4" t="s">
        <v>24</v>
      </c>
      <c r="F3070" s="5">
        <v>0.78</v>
      </c>
      <c r="G3070" s="4" t="s">
        <v>25</v>
      </c>
      <c r="H3070" s="6">
        <f t="shared" si="47"/>
        <v>145.08000000000001</v>
      </c>
    </row>
    <row r="3071" spans="1:8" x14ac:dyDescent="0.2">
      <c r="A3071" s="2" t="s">
        <v>3159</v>
      </c>
      <c r="B3071" s="2" t="s">
        <v>3140</v>
      </c>
      <c r="C3071" s="2" t="s">
        <v>57</v>
      </c>
      <c r="D3071" s="3">
        <v>3470</v>
      </c>
      <c r="E3071" s="4" t="s">
        <v>20</v>
      </c>
      <c r="F3071" s="5">
        <v>0.87</v>
      </c>
      <c r="G3071" s="4" t="s">
        <v>21</v>
      </c>
      <c r="H3071" s="6">
        <f t="shared" si="47"/>
        <v>3018.9</v>
      </c>
    </row>
    <row r="3072" spans="1:8" x14ac:dyDescent="0.2">
      <c r="A3072" s="2" t="s">
        <v>3160</v>
      </c>
      <c r="B3072" s="2" t="s">
        <v>3140</v>
      </c>
      <c r="C3072" s="2" t="s">
        <v>19</v>
      </c>
      <c r="D3072" s="3">
        <v>3216</v>
      </c>
      <c r="E3072" s="4" t="s">
        <v>20</v>
      </c>
      <c r="F3072" s="5">
        <v>1.33</v>
      </c>
      <c r="G3072" s="4" t="s">
        <v>21</v>
      </c>
      <c r="H3072" s="6">
        <f t="shared" si="47"/>
        <v>4277.2800000000007</v>
      </c>
    </row>
    <row r="3073" spans="1:8" x14ac:dyDescent="0.2">
      <c r="A3073" s="2" t="s">
        <v>3161</v>
      </c>
      <c r="B3073" s="2" t="s">
        <v>3140</v>
      </c>
      <c r="C3073" s="2" t="s">
        <v>78</v>
      </c>
      <c r="D3073" s="3">
        <v>2328</v>
      </c>
      <c r="E3073" s="4" t="s">
        <v>38</v>
      </c>
      <c r="F3073" s="5">
        <v>1.98</v>
      </c>
      <c r="G3073" s="4" t="s">
        <v>39</v>
      </c>
      <c r="H3073" s="6">
        <f t="shared" si="47"/>
        <v>4609.4399999999996</v>
      </c>
    </row>
    <row r="3074" spans="1:8" x14ac:dyDescent="0.2">
      <c r="A3074" s="2" t="s">
        <v>3162</v>
      </c>
      <c r="B3074" s="2" t="s">
        <v>3140</v>
      </c>
      <c r="C3074" s="2" t="s">
        <v>44</v>
      </c>
      <c r="D3074" s="3">
        <v>4499</v>
      </c>
      <c r="E3074" s="4" t="s">
        <v>24</v>
      </c>
      <c r="F3074" s="5">
        <v>1.18</v>
      </c>
      <c r="G3074" s="4" t="s">
        <v>25</v>
      </c>
      <c r="H3074" s="6">
        <f t="shared" ref="H3074:H3137" si="48">D3074*F3074</f>
        <v>5308.82</v>
      </c>
    </row>
    <row r="3075" spans="1:8" x14ac:dyDescent="0.2">
      <c r="A3075" s="2" t="s">
        <v>3163</v>
      </c>
      <c r="B3075" s="2" t="s">
        <v>3140</v>
      </c>
      <c r="C3075" s="2" t="s">
        <v>89</v>
      </c>
      <c r="D3075" s="3">
        <v>2659</v>
      </c>
      <c r="E3075" s="4" t="s">
        <v>30</v>
      </c>
      <c r="F3075" s="5">
        <v>2.7</v>
      </c>
      <c r="G3075" s="4" t="s">
        <v>31</v>
      </c>
      <c r="H3075" s="6">
        <f t="shared" si="48"/>
        <v>7179.3</v>
      </c>
    </row>
    <row r="3076" spans="1:8" x14ac:dyDescent="0.2">
      <c r="A3076" s="2" t="s">
        <v>3164</v>
      </c>
      <c r="B3076" s="2" t="s">
        <v>3140</v>
      </c>
      <c r="C3076" s="2" t="s">
        <v>46</v>
      </c>
      <c r="D3076" s="3">
        <v>453</v>
      </c>
      <c r="E3076" s="4" t="s">
        <v>20</v>
      </c>
      <c r="F3076" s="5">
        <v>3.7</v>
      </c>
      <c r="G3076" s="4" t="s">
        <v>21</v>
      </c>
      <c r="H3076" s="6">
        <f t="shared" si="48"/>
        <v>1676.1000000000001</v>
      </c>
    </row>
    <row r="3077" spans="1:8" x14ac:dyDescent="0.2">
      <c r="A3077" s="2" t="s">
        <v>3165</v>
      </c>
      <c r="B3077" s="2" t="s">
        <v>3140</v>
      </c>
      <c r="C3077" s="2" t="s">
        <v>71</v>
      </c>
      <c r="D3077" s="3">
        <v>3758</v>
      </c>
      <c r="E3077" s="4" t="s">
        <v>72</v>
      </c>
      <c r="F3077" s="5">
        <v>2792.78</v>
      </c>
      <c r="G3077" s="4" t="s">
        <v>73</v>
      </c>
      <c r="H3077" s="6">
        <f t="shared" si="48"/>
        <v>10495267.24</v>
      </c>
    </row>
    <row r="3078" spans="1:8" x14ac:dyDescent="0.2">
      <c r="A3078" s="2" t="s">
        <v>3166</v>
      </c>
      <c r="B3078" s="2" t="s">
        <v>3140</v>
      </c>
      <c r="C3078" s="2" t="s">
        <v>46</v>
      </c>
      <c r="D3078" s="3">
        <v>1136</v>
      </c>
      <c r="E3078" s="4" t="s">
        <v>20</v>
      </c>
      <c r="F3078" s="5">
        <v>2.88</v>
      </c>
      <c r="G3078" s="4" t="s">
        <v>21</v>
      </c>
      <c r="H3078" s="6">
        <f t="shared" si="48"/>
        <v>3271.68</v>
      </c>
    </row>
    <row r="3079" spans="1:8" x14ac:dyDescent="0.2">
      <c r="A3079" s="2" t="s">
        <v>3167</v>
      </c>
      <c r="B3079" s="2" t="s">
        <v>3140</v>
      </c>
      <c r="C3079" s="2" t="s">
        <v>48</v>
      </c>
      <c r="D3079" s="3">
        <v>2394</v>
      </c>
      <c r="E3079" s="4" t="s">
        <v>24</v>
      </c>
      <c r="F3079" s="5">
        <v>0.18</v>
      </c>
      <c r="G3079" s="4" t="s">
        <v>25</v>
      </c>
      <c r="H3079" s="6">
        <f t="shared" si="48"/>
        <v>430.91999999999996</v>
      </c>
    </row>
    <row r="3080" spans="1:8" x14ac:dyDescent="0.2">
      <c r="A3080" s="2" t="s">
        <v>3168</v>
      </c>
      <c r="B3080" s="2" t="s">
        <v>3140</v>
      </c>
      <c r="C3080" s="2" t="s">
        <v>44</v>
      </c>
      <c r="D3080" s="3">
        <v>1796</v>
      </c>
      <c r="E3080" s="4" t="s">
        <v>24</v>
      </c>
      <c r="F3080" s="5">
        <v>1.46</v>
      </c>
      <c r="G3080" s="4" t="s">
        <v>25</v>
      </c>
      <c r="H3080" s="6">
        <f t="shared" si="48"/>
        <v>2622.16</v>
      </c>
    </row>
    <row r="3081" spans="1:8" x14ac:dyDescent="0.2">
      <c r="A3081" s="2" t="s">
        <v>3169</v>
      </c>
      <c r="B3081" s="2" t="s">
        <v>3140</v>
      </c>
      <c r="C3081" s="2" t="s">
        <v>44</v>
      </c>
      <c r="D3081" s="3">
        <v>84</v>
      </c>
      <c r="E3081" s="4" t="s">
        <v>24</v>
      </c>
      <c r="F3081" s="5">
        <v>1.1499999999999999</v>
      </c>
      <c r="G3081" s="4" t="s">
        <v>25</v>
      </c>
      <c r="H3081" s="6">
        <f t="shared" si="48"/>
        <v>96.6</v>
      </c>
    </row>
    <row r="3082" spans="1:8" x14ac:dyDescent="0.2">
      <c r="A3082" s="2" t="s">
        <v>3170</v>
      </c>
      <c r="B3082" s="2" t="s">
        <v>3140</v>
      </c>
      <c r="C3082" s="2" t="s">
        <v>46</v>
      </c>
      <c r="D3082" s="3">
        <v>845</v>
      </c>
      <c r="E3082" s="4" t="s">
        <v>20</v>
      </c>
      <c r="F3082" s="5">
        <v>3.36</v>
      </c>
      <c r="G3082" s="4" t="s">
        <v>21</v>
      </c>
      <c r="H3082" s="6">
        <f t="shared" si="48"/>
        <v>2839.2</v>
      </c>
    </row>
    <row r="3083" spans="1:8" x14ac:dyDescent="0.2">
      <c r="A3083" s="2" t="s">
        <v>3171</v>
      </c>
      <c r="B3083" s="2" t="s">
        <v>3140</v>
      </c>
      <c r="C3083" s="2" t="s">
        <v>89</v>
      </c>
      <c r="D3083" s="3">
        <v>3094</v>
      </c>
      <c r="E3083" s="4" t="s">
        <v>30</v>
      </c>
      <c r="F3083" s="5">
        <v>2.94</v>
      </c>
      <c r="G3083" s="4" t="s">
        <v>31</v>
      </c>
      <c r="H3083" s="6">
        <f t="shared" si="48"/>
        <v>9096.36</v>
      </c>
    </row>
    <row r="3084" spans="1:8" x14ac:dyDescent="0.2">
      <c r="A3084" s="2" t="s">
        <v>3172</v>
      </c>
      <c r="B3084" s="2" t="s">
        <v>3140</v>
      </c>
      <c r="C3084" s="2" t="s">
        <v>52</v>
      </c>
      <c r="D3084" s="3">
        <v>1388</v>
      </c>
      <c r="E3084" s="4" t="s">
        <v>53</v>
      </c>
      <c r="F3084" s="5">
        <v>13.63</v>
      </c>
      <c r="G3084" s="4" t="s">
        <v>54</v>
      </c>
      <c r="H3084" s="6">
        <f t="shared" si="48"/>
        <v>18918.440000000002</v>
      </c>
    </row>
    <row r="3085" spans="1:8" x14ac:dyDescent="0.2">
      <c r="A3085" s="2" t="s">
        <v>3173</v>
      </c>
      <c r="B3085" s="2" t="s">
        <v>3140</v>
      </c>
      <c r="C3085" s="2" t="s">
        <v>50</v>
      </c>
      <c r="D3085" s="3">
        <v>2922</v>
      </c>
      <c r="E3085" s="4" t="s">
        <v>20</v>
      </c>
      <c r="F3085" s="5">
        <v>1.28</v>
      </c>
      <c r="G3085" s="4" t="s">
        <v>21</v>
      </c>
      <c r="H3085" s="6">
        <f t="shared" si="48"/>
        <v>3740.16</v>
      </c>
    </row>
    <row r="3086" spans="1:8" x14ac:dyDescent="0.2">
      <c r="A3086" s="2" t="s">
        <v>3174</v>
      </c>
      <c r="B3086" s="2" t="s">
        <v>3140</v>
      </c>
      <c r="C3086" s="2" t="s">
        <v>118</v>
      </c>
      <c r="D3086" s="3">
        <v>439</v>
      </c>
      <c r="E3086" s="4" t="s">
        <v>24</v>
      </c>
      <c r="F3086" s="5">
        <v>0.48</v>
      </c>
      <c r="G3086" s="4" t="s">
        <v>25</v>
      </c>
      <c r="H3086" s="6">
        <f t="shared" si="48"/>
        <v>210.72</v>
      </c>
    </row>
    <row r="3087" spans="1:8" x14ac:dyDescent="0.2">
      <c r="A3087" s="2" t="s">
        <v>3175</v>
      </c>
      <c r="B3087" s="2" t="s">
        <v>3140</v>
      </c>
      <c r="C3087" s="2" t="s">
        <v>78</v>
      </c>
      <c r="D3087" s="3">
        <v>2782</v>
      </c>
      <c r="E3087" s="4" t="s">
        <v>38</v>
      </c>
      <c r="F3087" s="5">
        <v>2.5099999999999998</v>
      </c>
      <c r="G3087" s="4" t="s">
        <v>39</v>
      </c>
      <c r="H3087" s="6">
        <f t="shared" si="48"/>
        <v>6982.82</v>
      </c>
    </row>
    <row r="3088" spans="1:8" x14ac:dyDescent="0.2">
      <c r="A3088" s="2" t="s">
        <v>3176</v>
      </c>
      <c r="B3088" s="2" t="s">
        <v>3140</v>
      </c>
      <c r="C3088" s="2" t="s">
        <v>89</v>
      </c>
      <c r="D3088" s="3">
        <v>3319</v>
      </c>
      <c r="E3088" s="4" t="s">
        <v>30</v>
      </c>
      <c r="F3088" s="5">
        <v>2.09</v>
      </c>
      <c r="G3088" s="4" t="s">
        <v>31</v>
      </c>
      <c r="H3088" s="6">
        <f t="shared" si="48"/>
        <v>6936.7099999999991</v>
      </c>
    </row>
    <row r="3089" spans="1:8" x14ac:dyDescent="0.2">
      <c r="A3089" s="2" t="s">
        <v>3177</v>
      </c>
      <c r="B3089" s="2" t="s">
        <v>3140</v>
      </c>
      <c r="C3089" s="2" t="s">
        <v>50</v>
      </c>
      <c r="D3089" s="3">
        <v>1983</v>
      </c>
      <c r="E3089" s="4" t="s">
        <v>20</v>
      </c>
      <c r="F3089" s="5">
        <v>0.94</v>
      </c>
      <c r="G3089" s="4" t="s">
        <v>21</v>
      </c>
      <c r="H3089" s="6">
        <f t="shared" si="48"/>
        <v>1864.02</v>
      </c>
    </row>
    <row r="3090" spans="1:8" x14ac:dyDescent="0.2">
      <c r="A3090" s="2" t="s">
        <v>3178</v>
      </c>
      <c r="B3090" s="2" t="s">
        <v>3140</v>
      </c>
      <c r="C3090" s="2" t="s">
        <v>71</v>
      </c>
      <c r="D3090" s="3">
        <v>4893</v>
      </c>
      <c r="E3090" s="4" t="s">
        <v>72</v>
      </c>
      <c r="F3090" s="5">
        <v>2972.73</v>
      </c>
      <c r="G3090" s="4" t="s">
        <v>73</v>
      </c>
      <c r="H3090" s="6">
        <f t="shared" si="48"/>
        <v>14545567.890000001</v>
      </c>
    </row>
    <row r="3091" spans="1:8" x14ac:dyDescent="0.2">
      <c r="A3091" s="2" t="s">
        <v>3179</v>
      </c>
      <c r="B3091" s="2" t="s">
        <v>3140</v>
      </c>
      <c r="C3091" s="2" t="s">
        <v>67</v>
      </c>
      <c r="D3091" s="3">
        <v>744</v>
      </c>
      <c r="E3091" s="4" t="s">
        <v>24</v>
      </c>
      <c r="F3091" s="5">
        <v>0.53</v>
      </c>
      <c r="G3091" s="4" t="s">
        <v>25</v>
      </c>
      <c r="H3091" s="6">
        <f t="shared" si="48"/>
        <v>394.32</v>
      </c>
    </row>
    <row r="3092" spans="1:8" x14ac:dyDescent="0.2">
      <c r="A3092" s="2" t="s">
        <v>3180</v>
      </c>
      <c r="B3092" s="2" t="s">
        <v>3140</v>
      </c>
      <c r="C3092" s="2" t="s">
        <v>67</v>
      </c>
      <c r="D3092" s="3">
        <v>2264</v>
      </c>
      <c r="E3092" s="4" t="s">
        <v>24</v>
      </c>
      <c r="F3092" s="5">
        <v>0.49</v>
      </c>
      <c r="G3092" s="4" t="s">
        <v>25</v>
      </c>
      <c r="H3092" s="6">
        <f t="shared" si="48"/>
        <v>1109.3599999999999</v>
      </c>
    </row>
    <row r="3093" spans="1:8" x14ac:dyDescent="0.2">
      <c r="A3093" s="2" t="s">
        <v>3181</v>
      </c>
      <c r="B3093" s="2" t="s">
        <v>3140</v>
      </c>
      <c r="C3093" s="2" t="s">
        <v>23</v>
      </c>
      <c r="D3093" s="3">
        <v>3019</v>
      </c>
      <c r="E3093" s="4" t="s">
        <v>24</v>
      </c>
      <c r="F3093" s="5">
        <v>12.07</v>
      </c>
      <c r="G3093" s="4" t="s">
        <v>25</v>
      </c>
      <c r="H3093" s="6">
        <f t="shared" si="48"/>
        <v>36439.33</v>
      </c>
    </row>
    <row r="3094" spans="1:8" x14ac:dyDescent="0.2">
      <c r="A3094" s="2" t="s">
        <v>3182</v>
      </c>
      <c r="B3094" s="2" t="s">
        <v>3140</v>
      </c>
      <c r="C3094" s="2" t="s">
        <v>50</v>
      </c>
      <c r="D3094" s="3">
        <v>686</v>
      </c>
      <c r="E3094" s="4" t="s">
        <v>20</v>
      </c>
      <c r="F3094" s="5">
        <v>0.77</v>
      </c>
      <c r="G3094" s="4" t="s">
        <v>21</v>
      </c>
      <c r="H3094" s="6">
        <f t="shared" si="48"/>
        <v>528.22</v>
      </c>
    </row>
    <row r="3095" spans="1:8" x14ac:dyDescent="0.2">
      <c r="A3095" s="2" t="s">
        <v>3183</v>
      </c>
      <c r="B3095" s="2" t="s">
        <v>3140</v>
      </c>
      <c r="C3095" s="2" t="s">
        <v>78</v>
      </c>
      <c r="D3095" s="3">
        <v>1852</v>
      </c>
      <c r="E3095" s="4" t="s">
        <v>38</v>
      </c>
      <c r="F3095" s="5">
        <v>1.54</v>
      </c>
      <c r="G3095" s="4" t="s">
        <v>39</v>
      </c>
      <c r="H3095" s="6">
        <f t="shared" si="48"/>
        <v>2852.08</v>
      </c>
    </row>
    <row r="3096" spans="1:8" x14ac:dyDescent="0.2">
      <c r="A3096" s="2" t="s">
        <v>3184</v>
      </c>
      <c r="B3096" s="2" t="s">
        <v>3140</v>
      </c>
      <c r="C3096" s="2" t="s">
        <v>46</v>
      </c>
      <c r="D3096" s="3">
        <v>4700</v>
      </c>
      <c r="E3096" s="4" t="s">
        <v>20</v>
      </c>
      <c r="F3096" s="5">
        <v>2.96</v>
      </c>
      <c r="G3096" s="4" t="s">
        <v>21</v>
      </c>
      <c r="H3096" s="6">
        <f t="shared" si="48"/>
        <v>13912</v>
      </c>
    </row>
    <row r="3097" spans="1:8" x14ac:dyDescent="0.2">
      <c r="A3097" s="2" t="s">
        <v>3185</v>
      </c>
      <c r="B3097" s="2" t="s">
        <v>3140</v>
      </c>
      <c r="C3097" s="2" t="s">
        <v>50</v>
      </c>
      <c r="D3097" s="3">
        <v>4866</v>
      </c>
      <c r="E3097" s="4" t="s">
        <v>20</v>
      </c>
      <c r="F3097" s="5">
        <v>0.81</v>
      </c>
      <c r="G3097" s="4" t="s">
        <v>21</v>
      </c>
      <c r="H3097" s="6">
        <f t="shared" si="48"/>
        <v>3941.46</v>
      </c>
    </row>
    <row r="3098" spans="1:8" x14ac:dyDescent="0.2">
      <c r="A3098" s="2" t="s">
        <v>3186</v>
      </c>
      <c r="B3098" s="2" t="s">
        <v>3140</v>
      </c>
      <c r="C3098" s="2" t="s">
        <v>48</v>
      </c>
      <c r="D3098" s="3">
        <v>3562</v>
      </c>
      <c r="E3098" s="4" t="s">
        <v>24</v>
      </c>
      <c r="F3098" s="5">
        <v>0.09</v>
      </c>
      <c r="G3098" s="4" t="s">
        <v>25</v>
      </c>
      <c r="H3098" s="6">
        <f t="shared" si="48"/>
        <v>320.58</v>
      </c>
    </row>
    <row r="3099" spans="1:8" x14ac:dyDescent="0.2">
      <c r="A3099" s="2" t="s">
        <v>3187</v>
      </c>
      <c r="B3099" s="2" t="s">
        <v>3140</v>
      </c>
      <c r="C3099" s="2" t="s">
        <v>89</v>
      </c>
      <c r="D3099" s="3">
        <v>824</v>
      </c>
      <c r="E3099" s="4" t="s">
        <v>30</v>
      </c>
      <c r="F3099" s="5">
        <v>2.19</v>
      </c>
      <c r="G3099" s="4" t="s">
        <v>31</v>
      </c>
      <c r="H3099" s="6">
        <f t="shared" si="48"/>
        <v>1804.56</v>
      </c>
    </row>
    <row r="3100" spans="1:8" x14ac:dyDescent="0.2">
      <c r="A3100" s="2" t="s">
        <v>3188</v>
      </c>
      <c r="B3100" s="2" t="s">
        <v>3140</v>
      </c>
      <c r="C3100" s="2" t="s">
        <v>29</v>
      </c>
      <c r="D3100" s="3">
        <v>1524</v>
      </c>
      <c r="E3100" s="4" t="s">
        <v>30</v>
      </c>
      <c r="F3100" s="5">
        <v>1.49</v>
      </c>
      <c r="G3100" s="4" t="s">
        <v>31</v>
      </c>
      <c r="H3100" s="6">
        <f t="shared" si="48"/>
        <v>2270.7599999999998</v>
      </c>
    </row>
    <row r="3101" spans="1:8" x14ac:dyDescent="0.2">
      <c r="A3101" s="2" t="s">
        <v>3189</v>
      </c>
      <c r="B3101" s="2" t="s">
        <v>3140</v>
      </c>
      <c r="C3101" s="2" t="s">
        <v>33</v>
      </c>
      <c r="D3101" s="3">
        <v>3235</v>
      </c>
      <c r="E3101" s="4" t="s">
        <v>34</v>
      </c>
      <c r="F3101" s="5">
        <v>4.8899999999999997</v>
      </c>
      <c r="G3101" s="4" t="s">
        <v>35</v>
      </c>
      <c r="H3101" s="6">
        <f t="shared" si="48"/>
        <v>15819.15</v>
      </c>
    </row>
    <row r="3102" spans="1:8" x14ac:dyDescent="0.2">
      <c r="A3102" s="2" t="s">
        <v>3190</v>
      </c>
      <c r="B3102" s="2" t="s">
        <v>3140</v>
      </c>
      <c r="C3102" s="2" t="s">
        <v>29</v>
      </c>
      <c r="D3102" s="3">
        <v>4352</v>
      </c>
      <c r="E3102" s="4" t="s">
        <v>30</v>
      </c>
      <c r="F3102" s="5">
        <v>1.59</v>
      </c>
      <c r="G3102" s="4" t="s">
        <v>31</v>
      </c>
      <c r="H3102" s="6">
        <f t="shared" si="48"/>
        <v>6919.68</v>
      </c>
    </row>
    <row r="3103" spans="1:8" x14ac:dyDescent="0.2">
      <c r="A3103" s="2" t="s">
        <v>3191</v>
      </c>
      <c r="B3103" s="2" t="s">
        <v>3140</v>
      </c>
      <c r="C3103" s="2" t="s">
        <v>78</v>
      </c>
      <c r="D3103" s="3">
        <v>4800</v>
      </c>
      <c r="E3103" s="4" t="s">
        <v>38</v>
      </c>
      <c r="F3103" s="5">
        <v>2.42</v>
      </c>
      <c r="G3103" s="4" t="s">
        <v>39</v>
      </c>
      <c r="H3103" s="6">
        <f t="shared" si="48"/>
        <v>11616</v>
      </c>
    </row>
    <row r="3104" spans="1:8" x14ac:dyDescent="0.2">
      <c r="A3104" s="2" t="s">
        <v>3192</v>
      </c>
      <c r="B3104" s="2" t="s">
        <v>3140</v>
      </c>
      <c r="C3104" s="2" t="s">
        <v>50</v>
      </c>
      <c r="D3104" s="3">
        <v>1709</v>
      </c>
      <c r="E3104" s="4" t="s">
        <v>20</v>
      </c>
      <c r="F3104" s="5">
        <v>1.28</v>
      </c>
      <c r="G3104" s="4" t="s">
        <v>21</v>
      </c>
      <c r="H3104" s="6">
        <f t="shared" si="48"/>
        <v>2187.52</v>
      </c>
    </row>
    <row r="3105" spans="1:8" x14ac:dyDescent="0.2">
      <c r="A3105" s="2" t="s">
        <v>3193</v>
      </c>
      <c r="B3105" s="2" t="s">
        <v>3140</v>
      </c>
      <c r="C3105" s="2" t="s">
        <v>50</v>
      </c>
      <c r="D3105" s="3">
        <v>1490</v>
      </c>
      <c r="E3105" s="4" t="s">
        <v>20</v>
      </c>
      <c r="F3105" s="5">
        <v>1.22</v>
      </c>
      <c r="G3105" s="4" t="s">
        <v>21</v>
      </c>
      <c r="H3105" s="6">
        <f t="shared" si="48"/>
        <v>1817.8</v>
      </c>
    </row>
    <row r="3106" spans="1:8" x14ac:dyDescent="0.2">
      <c r="A3106" s="2" t="s">
        <v>3194</v>
      </c>
      <c r="B3106" s="2" t="s">
        <v>3140</v>
      </c>
      <c r="C3106" s="2" t="s">
        <v>118</v>
      </c>
      <c r="D3106" s="3">
        <v>53</v>
      </c>
      <c r="E3106" s="4" t="s">
        <v>24</v>
      </c>
      <c r="F3106" s="5">
        <v>0.79</v>
      </c>
      <c r="G3106" s="4" t="s">
        <v>25</v>
      </c>
      <c r="H3106" s="6">
        <f t="shared" si="48"/>
        <v>41.870000000000005</v>
      </c>
    </row>
    <row r="3107" spans="1:8" x14ac:dyDescent="0.2">
      <c r="A3107" s="2" t="s">
        <v>3195</v>
      </c>
      <c r="B3107" s="2" t="s">
        <v>3140</v>
      </c>
      <c r="C3107" s="2" t="s">
        <v>57</v>
      </c>
      <c r="D3107" s="3">
        <v>1017</v>
      </c>
      <c r="E3107" s="4" t="s">
        <v>20</v>
      </c>
      <c r="F3107" s="5">
        <v>0.62</v>
      </c>
      <c r="G3107" s="4" t="s">
        <v>21</v>
      </c>
      <c r="H3107" s="6">
        <f t="shared" si="48"/>
        <v>630.54</v>
      </c>
    </row>
    <row r="3108" spans="1:8" x14ac:dyDescent="0.2">
      <c r="A3108" s="2" t="s">
        <v>3196</v>
      </c>
      <c r="B3108" s="2" t="s">
        <v>3140</v>
      </c>
      <c r="C3108" s="2" t="s">
        <v>46</v>
      </c>
      <c r="D3108" s="3">
        <v>1699</v>
      </c>
      <c r="E3108" s="4" t="s">
        <v>20</v>
      </c>
      <c r="F3108" s="5">
        <v>3.31</v>
      </c>
      <c r="G3108" s="4" t="s">
        <v>21</v>
      </c>
      <c r="H3108" s="6">
        <f t="shared" si="48"/>
        <v>5623.6900000000005</v>
      </c>
    </row>
    <row r="3109" spans="1:8" x14ac:dyDescent="0.2">
      <c r="A3109" s="2" t="s">
        <v>3197</v>
      </c>
      <c r="B3109" s="2" t="s">
        <v>3140</v>
      </c>
      <c r="C3109" s="2" t="s">
        <v>27</v>
      </c>
      <c r="D3109" s="3">
        <v>4617</v>
      </c>
      <c r="E3109" s="4" t="s">
        <v>20</v>
      </c>
      <c r="F3109" s="5">
        <v>1.51</v>
      </c>
      <c r="G3109" s="4" t="s">
        <v>21</v>
      </c>
      <c r="H3109" s="6">
        <f t="shared" si="48"/>
        <v>6971.67</v>
      </c>
    </row>
    <row r="3110" spans="1:8" x14ac:dyDescent="0.2">
      <c r="A3110" s="2" t="s">
        <v>3198</v>
      </c>
      <c r="B3110" s="2" t="s">
        <v>3140</v>
      </c>
      <c r="C3110" s="2" t="s">
        <v>37</v>
      </c>
      <c r="D3110" s="3">
        <v>703</v>
      </c>
      <c r="E3110" s="4" t="s">
        <v>38</v>
      </c>
      <c r="F3110" s="5">
        <v>4.9400000000000004</v>
      </c>
      <c r="G3110" s="4" t="s">
        <v>39</v>
      </c>
      <c r="H3110" s="6">
        <f t="shared" si="48"/>
        <v>3472.82</v>
      </c>
    </row>
    <row r="3111" spans="1:8" x14ac:dyDescent="0.2">
      <c r="A3111" s="2" t="s">
        <v>3199</v>
      </c>
      <c r="B3111" s="2" t="s">
        <v>3140</v>
      </c>
      <c r="C3111" s="2" t="s">
        <v>78</v>
      </c>
      <c r="D3111" s="3">
        <v>2455</v>
      </c>
      <c r="E3111" s="4" t="s">
        <v>38</v>
      </c>
      <c r="F3111" s="5">
        <v>2.12</v>
      </c>
      <c r="G3111" s="4" t="s">
        <v>39</v>
      </c>
      <c r="H3111" s="6">
        <f t="shared" si="48"/>
        <v>5204.6000000000004</v>
      </c>
    </row>
    <row r="3112" spans="1:8" x14ac:dyDescent="0.2">
      <c r="A3112" s="2" t="s">
        <v>3200</v>
      </c>
      <c r="B3112" s="2" t="s">
        <v>3140</v>
      </c>
      <c r="C3112" s="2" t="s">
        <v>29</v>
      </c>
      <c r="D3112" s="3">
        <v>1415</v>
      </c>
      <c r="E3112" s="4" t="s">
        <v>30</v>
      </c>
      <c r="F3112" s="5">
        <v>1.51</v>
      </c>
      <c r="G3112" s="4" t="s">
        <v>31</v>
      </c>
      <c r="H3112" s="6">
        <f t="shared" si="48"/>
        <v>2136.65</v>
      </c>
    </row>
    <row r="3113" spans="1:8" x14ac:dyDescent="0.2">
      <c r="A3113" s="2" t="s">
        <v>3201</v>
      </c>
      <c r="B3113" s="2" t="s">
        <v>3140</v>
      </c>
      <c r="C3113" s="2" t="s">
        <v>33</v>
      </c>
      <c r="D3113" s="3">
        <v>2044</v>
      </c>
      <c r="E3113" s="4" t="s">
        <v>34</v>
      </c>
      <c r="F3113" s="5">
        <v>4.25</v>
      </c>
      <c r="G3113" s="4" t="s">
        <v>35</v>
      </c>
      <c r="H3113" s="6">
        <f t="shared" si="48"/>
        <v>8687</v>
      </c>
    </row>
    <row r="3114" spans="1:8" x14ac:dyDescent="0.2">
      <c r="A3114" s="2" t="s">
        <v>3202</v>
      </c>
      <c r="B3114" s="2" t="s">
        <v>3140</v>
      </c>
      <c r="C3114" s="2" t="s">
        <v>78</v>
      </c>
      <c r="D3114" s="3">
        <v>2413</v>
      </c>
      <c r="E3114" s="4" t="s">
        <v>38</v>
      </c>
      <c r="F3114" s="5">
        <v>2.62</v>
      </c>
      <c r="G3114" s="4" t="s">
        <v>39</v>
      </c>
      <c r="H3114" s="6">
        <f t="shared" si="48"/>
        <v>6322.06</v>
      </c>
    </row>
    <row r="3115" spans="1:8" x14ac:dyDescent="0.2">
      <c r="A3115" s="2" t="s">
        <v>3203</v>
      </c>
      <c r="B3115" s="2" t="s">
        <v>3140</v>
      </c>
      <c r="C3115" s="2" t="s">
        <v>23</v>
      </c>
      <c r="D3115" s="3">
        <v>1155</v>
      </c>
      <c r="E3115" s="4" t="s">
        <v>24</v>
      </c>
      <c r="F3115" s="5">
        <v>15.46</v>
      </c>
      <c r="G3115" s="4" t="s">
        <v>25</v>
      </c>
      <c r="H3115" s="6">
        <f t="shared" si="48"/>
        <v>17856.3</v>
      </c>
    </row>
    <row r="3116" spans="1:8" x14ac:dyDescent="0.2">
      <c r="A3116" s="2" t="s">
        <v>3204</v>
      </c>
      <c r="B3116" s="2" t="s">
        <v>3140</v>
      </c>
      <c r="C3116" s="2" t="s">
        <v>57</v>
      </c>
      <c r="D3116" s="3">
        <v>4291</v>
      </c>
      <c r="E3116" s="4" t="s">
        <v>20</v>
      </c>
      <c r="F3116" s="5">
        <v>0.96</v>
      </c>
      <c r="G3116" s="4" t="s">
        <v>21</v>
      </c>
      <c r="H3116" s="6">
        <f t="shared" si="48"/>
        <v>4119.3599999999997</v>
      </c>
    </row>
    <row r="3117" spans="1:8" x14ac:dyDescent="0.2">
      <c r="A3117" s="2" t="s">
        <v>3205</v>
      </c>
      <c r="B3117" s="2" t="s">
        <v>3140</v>
      </c>
      <c r="C3117" s="2" t="s">
        <v>19</v>
      </c>
      <c r="D3117" s="3">
        <v>4975</v>
      </c>
      <c r="E3117" s="4" t="s">
        <v>20</v>
      </c>
      <c r="F3117" s="5">
        <v>1.42</v>
      </c>
      <c r="G3117" s="4" t="s">
        <v>21</v>
      </c>
      <c r="H3117" s="6">
        <f t="shared" si="48"/>
        <v>7064.5</v>
      </c>
    </row>
    <row r="3118" spans="1:8" x14ac:dyDescent="0.2">
      <c r="A3118" s="2" t="s">
        <v>3206</v>
      </c>
      <c r="B3118" s="2" t="s">
        <v>3140</v>
      </c>
      <c r="C3118" s="2" t="s">
        <v>44</v>
      </c>
      <c r="D3118" s="3">
        <v>821</v>
      </c>
      <c r="E3118" s="4" t="s">
        <v>24</v>
      </c>
      <c r="F3118" s="5">
        <v>1.36</v>
      </c>
      <c r="G3118" s="4" t="s">
        <v>25</v>
      </c>
      <c r="H3118" s="6">
        <f t="shared" si="48"/>
        <v>1116.5600000000002</v>
      </c>
    </row>
    <row r="3119" spans="1:8" x14ac:dyDescent="0.2">
      <c r="A3119" s="2" t="s">
        <v>3207</v>
      </c>
      <c r="B3119" s="2" t="s">
        <v>3140</v>
      </c>
      <c r="C3119" s="2" t="s">
        <v>37</v>
      </c>
      <c r="D3119" s="3">
        <v>1952</v>
      </c>
      <c r="E3119" s="4" t="s">
        <v>38</v>
      </c>
      <c r="F3119" s="5">
        <v>2.11</v>
      </c>
      <c r="G3119" s="4" t="s">
        <v>39</v>
      </c>
      <c r="H3119" s="6">
        <f t="shared" si="48"/>
        <v>4118.7199999999993</v>
      </c>
    </row>
    <row r="3120" spans="1:8" x14ac:dyDescent="0.2">
      <c r="A3120" s="2" t="s">
        <v>3208</v>
      </c>
      <c r="B3120" s="2" t="s">
        <v>3140</v>
      </c>
      <c r="C3120" s="2" t="s">
        <v>89</v>
      </c>
      <c r="D3120" s="3">
        <v>2465</v>
      </c>
      <c r="E3120" s="4" t="s">
        <v>30</v>
      </c>
      <c r="F3120" s="5">
        <v>2.83</v>
      </c>
      <c r="G3120" s="4" t="s">
        <v>31</v>
      </c>
      <c r="H3120" s="6">
        <f t="shared" si="48"/>
        <v>6975.95</v>
      </c>
    </row>
    <row r="3121" spans="1:8" x14ac:dyDescent="0.2">
      <c r="A3121" s="2" t="s">
        <v>3209</v>
      </c>
      <c r="B3121" s="2" t="s">
        <v>3140</v>
      </c>
      <c r="C3121" s="2" t="s">
        <v>44</v>
      </c>
      <c r="D3121" s="3">
        <v>1109</v>
      </c>
      <c r="E3121" s="4" t="s">
        <v>24</v>
      </c>
      <c r="F3121" s="5">
        <v>1.32</v>
      </c>
      <c r="G3121" s="4" t="s">
        <v>25</v>
      </c>
      <c r="H3121" s="6">
        <f t="shared" si="48"/>
        <v>1463.88</v>
      </c>
    </row>
    <row r="3122" spans="1:8" x14ac:dyDescent="0.2">
      <c r="A3122" s="2" t="s">
        <v>3210</v>
      </c>
      <c r="B3122" s="2" t="s">
        <v>3140</v>
      </c>
      <c r="C3122" s="2" t="s">
        <v>44</v>
      </c>
      <c r="D3122" s="3">
        <v>4857</v>
      </c>
      <c r="E3122" s="4" t="s">
        <v>24</v>
      </c>
      <c r="F3122" s="5">
        <v>1.1499999999999999</v>
      </c>
      <c r="G3122" s="4" t="s">
        <v>25</v>
      </c>
      <c r="H3122" s="6">
        <f t="shared" si="48"/>
        <v>5585.5499999999993</v>
      </c>
    </row>
    <row r="3123" spans="1:8" x14ac:dyDescent="0.2">
      <c r="A3123" s="2" t="s">
        <v>3211</v>
      </c>
      <c r="B3123" s="2" t="s">
        <v>3140</v>
      </c>
      <c r="C3123" s="2" t="s">
        <v>89</v>
      </c>
      <c r="D3123" s="3">
        <v>3467</v>
      </c>
      <c r="E3123" s="4" t="s">
        <v>30</v>
      </c>
      <c r="F3123" s="5">
        <v>1.89</v>
      </c>
      <c r="G3123" s="4" t="s">
        <v>31</v>
      </c>
      <c r="H3123" s="6">
        <f t="shared" si="48"/>
        <v>6552.63</v>
      </c>
    </row>
    <row r="3124" spans="1:8" x14ac:dyDescent="0.2">
      <c r="A3124" s="2" t="s">
        <v>3212</v>
      </c>
      <c r="B3124" s="2" t="s">
        <v>3140</v>
      </c>
      <c r="C3124" s="2" t="s">
        <v>86</v>
      </c>
      <c r="D3124" s="3">
        <v>2145</v>
      </c>
      <c r="E3124" s="4" t="s">
        <v>72</v>
      </c>
      <c r="F3124" s="5">
        <v>8334.5</v>
      </c>
      <c r="G3124" s="4" t="s">
        <v>73</v>
      </c>
      <c r="H3124" s="6">
        <f t="shared" si="48"/>
        <v>17877502.5</v>
      </c>
    </row>
    <row r="3125" spans="1:8" x14ac:dyDescent="0.2">
      <c r="A3125" s="2" t="s">
        <v>3213</v>
      </c>
      <c r="B3125" s="2" t="s">
        <v>3140</v>
      </c>
      <c r="C3125" s="2" t="s">
        <v>118</v>
      </c>
      <c r="D3125" s="3">
        <v>3287</v>
      </c>
      <c r="E3125" s="4" t="s">
        <v>24</v>
      </c>
      <c r="F3125" s="5">
        <v>0.72</v>
      </c>
      <c r="G3125" s="4" t="s">
        <v>25</v>
      </c>
      <c r="H3125" s="6">
        <f t="shared" si="48"/>
        <v>2366.64</v>
      </c>
    </row>
    <row r="3126" spans="1:8" x14ac:dyDescent="0.2">
      <c r="A3126" s="2" t="s">
        <v>3214</v>
      </c>
      <c r="B3126" s="2" t="s">
        <v>3140</v>
      </c>
      <c r="C3126" s="2" t="s">
        <v>86</v>
      </c>
      <c r="D3126" s="3">
        <v>3494</v>
      </c>
      <c r="E3126" s="4" t="s">
        <v>72</v>
      </c>
      <c r="F3126" s="5">
        <v>9116.2800000000007</v>
      </c>
      <c r="G3126" s="4" t="s">
        <v>73</v>
      </c>
      <c r="H3126" s="6">
        <f t="shared" si="48"/>
        <v>31852282.320000004</v>
      </c>
    </row>
    <row r="3127" spans="1:8" x14ac:dyDescent="0.2">
      <c r="A3127" s="2" t="s">
        <v>3215</v>
      </c>
      <c r="B3127" s="2" t="s">
        <v>3140</v>
      </c>
      <c r="C3127" s="2" t="s">
        <v>89</v>
      </c>
      <c r="D3127" s="3">
        <v>4400</v>
      </c>
      <c r="E3127" s="4" t="s">
        <v>30</v>
      </c>
      <c r="F3127" s="5">
        <v>2.04</v>
      </c>
      <c r="G3127" s="4" t="s">
        <v>31</v>
      </c>
      <c r="H3127" s="6">
        <f t="shared" si="48"/>
        <v>8976</v>
      </c>
    </row>
    <row r="3128" spans="1:8" x14ac:dyDescent="0.2">
      <c r="A3128" s="2" t="s">
        <v>3216</v>
      </c>
      <c r="B3128" s="2" t="s">
        <v>3140</v>
      </c>
      <c r="C3128" s="2" t="s">
        <v>86</v>
      </c>
      <c r="D3128" s="3">
        <v>1588</v>
      </c>
      <c r="E3128" s="4" t="s">
        <v>72</v>
      </c>
      <c r="F3128" s="5">
        <v>8800.2199999999993</v>
      </c>
      <c r="G3128" s="4" t="s">
        <v>73</v>
      </c>
      <c r="H3128" s="6">
        <f t="shared" si="48"/>
        <v>13974749.359999999</v>
      </c>
    </row>
    <row r="3129" spans="1:8" x14ac:dyDescent="0.2">
      <c r="A3129" s="2" t="s">
        <v>3217</v>
      </c>
      <c r="B3129" s="2" t="s">
        <v>3140</v>
      </c>
      <c r="C3129" s="2" t="s">
        <v>46</v>
      </c>
      <c r="D3129" s="3">
        <v>4199</v>
      </c>
      <c r="E3129" s="4" t="s">
        <v>20</v>
      </c>
      <c r="F3129" s="5">
        <v>3.21</v>
      </c>
      <c r="G3129" s="4" t="s">
        <v>21</v>
      </c>
      <c r="H3129" s="6">
        <f t="shared" si="48"/>
        <v>13478.789999999999</v>
      </c>
    </row>
    <row r="3130" spans="1:8" x14ac:dyDescent="0.2">
      <c r="A3130" s="2" t="s">
        <v>3218</v>
      </c>
      <c r="B3130" s="2" t="s">
        <v>3140</v>
      </c>
      <c r="C3130" s="2" t="s">
        <v>52</v>
      </c>
      <c r="D3130" s="3">
        <v>1267</v>
      </c>
      <c r="E3130" s="4" t="s">
        <v>53</v>
      </c>
      <c r="F3130" s="5">
        <v>10.58</v>
      </c>
      <c r="G3130" s="4" t="s">
        <v>54</v>
      </c>
      <c r="H3130" s="6">
        <f t="shared" si="48"/>
        <v>13404.86</v>
      </c>
    </row>
    <row r="3131" spans="1:8" x14ac:dyDescent="0.2">
      <c r="A3131" s="2" t="s">
        <v>3219</v>
      </c>
      <c r="B3131" s="2" t="s">
        <v>3140</v>
      </c>
      <c r="C3131" s="2" t="s">
        <v>52</v>
      </c>
      <c r="D3131" s="3">
        <v>3114</v>
      </c>
      <c r="E3131" s="4" t="s">
        <v>53</v>
      </c>
      <c r="F3131" s="5">
        <v>9.1300000000000008</v>
      </c>
      <c r="G3131" s="4" t="s">
        <v>54</v>
      </c>
      <c r="H3131" s="6">
        <f t="shared" si="48"/>
        <v>28430.820000000003</v>
      </c>
    </row>
    <row r="3132" spans="1:8" x14ac:dyDescent="0.2">
      <c r="A3132" s="2" t="s">
        <v>3220</v>
      </c>
      <c r="B3132" s="2" t="s">
        <v>3140</v>
      </c>
      <c r="C3132" s="2" t="s">
        <v>147</v>
      </c>
      <c r="D3132" s="3">
        <v>2037</v>
      </c>
      <c r="E3132" s="4" t="s">
        <v>53</v>
      </c>
      <c r="F3132" s="5">
        <v>8.6199999999999992</v>
      </c>
      <c r="G3132" s="4" t="s">
        <v>54</v>
      </c>
      <c r="H3132" s="6">
        <f t="shared" si="48"/>
        <v>17558.939999999999</v>
      </c>
    </row>
    <row r="3133" spans="1:8" x14ac:dyDescent="0.2">
      <c r="A3133" s="2" t="s">
        <v>3221</v>
      </c>
      <c r="B3133" s="2" t="s">
        <v>3140</v>
      </c>
      <c r="C3133" s="2" t="s">
        <v>50</v>
      </c>
      <c r="D3133" s="3">
        <v>4363</v>
      </c>
      <c r="E3133" s="4" t="s">
        <v>20</v>
      </c>
      <c r="F3133" s="5">
        <v>0.77</v>
      </c>
      <c r="G3133" s="4" t="s">
        <v>21</v>
      </c>
      <c r="H3133" s="6">
        <f t="shared" si="48"/>
        <v>3359.51</v>
      </c>
    </row>
    <row r="3134" spans="1:8" x14ac:dyDescent="0.2">
      <c r="A3134" s="2" t="s">
        <v>3222</v>
      </c>
      <c r="B3134" s="2" t="s">
        <v>3140</v>
      </c>
      <c r="C3134" s="2" t="s">
        <v>29</v>
      </c>
      <c r="D3134" s="3">
        <v>3342</v>
      </c>
      <c r="E3134" s="4" t="s">
        <v>30</v>
      </c>
      <c r="F3134" s="5">
        <v>1.08</v>
      </c>
      <c r="G3134" s="4" t="s">
        <v>31</v>
      </c>
      <c r="H3134" s="6">
        <f t="shared" si="48"/>
        <v>3609.36</v>
      </c>
    </row>
    <row r="3135" spans="1:8" x14ac:dyDescent="0.2">
      <c r="A3135" s="2" t="s">
        <v>3223</v>
      </c>
      <c r="B3135" s="2" t="s">
        <v>3140</v>
      </c>
      <c r="C3135" s="2" t="s">
        <v>27</v>
      </c>
      <c r="D3135" s="3">
        <v>2982</v>
      </c>
      <c r="E3135" s="4" t="s">
        <v>20</v>
      </c>
      <c r="F3135" s="5">
        <v>2.29</v>
      </c>
      <c r="G3135" s="4" t="s">
        <v>21</v>
      </c>
      <c r="H3135" s="6">
        <f t="shared" si="48"/>
        <v>6828.78</v>
      </c>
    </row>
    <row r="3136" spans="1:8" x14ac:dyDescent="0.2">
      <c r="A3136" s="2" t="s">
        <v>3224</v>
      </c>
      <c r="B3136" s="2" t="s">
        <v>3140</v>
      </c>
      <c r="C3136" s="2" t="s">
        <v>86</v>
      </c>
      <c r="D3136" s="3">
        <v>1208</v>
      </c>
      <c r="E3136" s="4" t="s">
        <v>72</v>
      </c>
      <c r="F3136" s="5">
        <v>9016.4</v>
      </c>
      <c r="G3136" s="4" t="s">
        <v>73</v>
      </c>
      <c r="H3136" s="6">
        <f t="shared" si="48"/>
        <v>10891811.199999999</v>
      </c>
    </row>
    <row r="3137" spans="1:8" x14ac:dyDescent="0.2">
      <c r="A3137" s="2" t="s">
        <v>3225</v>
      </c>
      <c r="B3137" s="2" t="s">
        <v>3140</v>
      </c>
      <c r="C3137" s="2" t="s">
        <v>42</v>
      </c>
      <c r="D3137" s="3">
        <v>2251</v>
      </c>
      <c r="E3137" s="4" t="s">
        <v>24</v>
      </c>
      <c r="F3137" s="5">
        <v>3.53</v>
      </c>
      <c r="G3137" s="4" t="s">
        <v>25</v>
      </c>
      <c r="H3137" s="6">
        <f t="shared" si="48"/>
        <v>7946.03</v>
      </c>
    </row>
    <row r="3138" spans="1:8" x14ac:dyDescent="0.2">
      <c r="A3138" s="2" t="s">
        <v>3226</v>
      </c>
      <c r="B3138" s="2" t="s">
        <v>3140</v>
      </c>
      <c r="C3138" s="2" t="s">
        <v>67</v>
      </c>
      <c r="D3138" s="3">
        <v>1830</v>
      </c>
      <c r="E3138" s="4" t="s">
        <v>24</v>
      </c>
      <c r="F3138" s="5">
        <v>0.41</v>
      </c>
      <c r="G3138" s="4" t="s">
        <v>25</v>
      </c>
      <c r="H3138" s="6">
        <f t="shared" ref="H3138:H3201" si="49">D3138*F3138</f>
        <v>750.3</v>
      </c>
    </row>
    <row r="3139" spans="1:8" x14ac:dyDescent="0.2">
      <c r="A3139" s="2" t="s">
        <v>3227</v>
      </c>
      <c r="B3139" s="2" t="s">
        <v>3140</v>
      </c>
      <c r="C3139" s="2" t="s">
        <v>50</v>
      </c>
      <c r="D3139" s="3">
        <v>1021</v>
      </c>
      <c r="E3139" s="4" t="s">
        <v>20</v>
      </c>
      <c r="F3139" s="5">
        <v>0.81</v>
      </c>
      <c r="G3139" s="4" t="s">
        <v>21</v>
      </c>
      <c r="H3139" s="6">
        <f t="shared" si="49"/>
        <v>827.0100000000001</v>
      </c>
    </row>
    <row r="3140" spans="1:8" x14ac:dyDescent="0.2">
      <c r="A3140" s="2" t="s">
        <v>3228</v>
      </c>
      <c r="B3140" s="2" t="s">
        <v>3140</v>
      </c>
      <c r="C3140" s="2" t="s">
        <v>71</v>
      </c>
      <c r="D3140" s="3">
        <v>4833</v>
      </c>
      <c r="E3140" s="4" t="s">
        <v>72</v>
      </c>
      <c r="F3140" s="5">
        <v>2892.81</v>
      </c>
      <c r="G3140" s="4" t="s">
        <v>73</v>
      </c>
      <c r="H3140" s="6">
        <f t="shared" si="49"/>
        <v>13980950.73</v>
      </c>
    </row>
    <row r="3141" spans="1:8" x14ac:dyDescent="0.2">
      <c r="A3141" s="2" t="s">
        <v>3229</v>
      </c>
      <c r="B3141" s="2" t="s">
        <v>3140</v>
      </c>
      <c r="C3141" s="2" t="s">
        <v>48</v>
      </c>
      <c r="D3141" s="3">
        <v>792</v>
      </c>
      <c r="E3141" s="4" t="s">
        <v>24</v>
      </c>
      <c r="F3141" s="5">
        <v>0.13</v>
      </c>
      <c r="G3141" s="4" t="s">
        <v>25</v>
      </c>
      <c r="H3141" s="6">
        <f t="shared" si="49"/>
        <v>102.96000000000001</v>
      </c>
    </row>
    <row r="3142" spans="1:8" x14ac:dyDescent="0.2">
      <c r="A3142" s="2" t="s">
        <v>3230</v>
      </c>
      <c r="B3142" s="2" t="s">
        <v>3140</v>
      </c>
      <c r="C3142" s="2" t="s">
        <v>46</v>
      </c>
      <c r="D3142" s="3">
        <v>2320</v>
      </c>
      <c r="E3142" s="4" t="s">
        <v>20</v>
      </c>
      <c r="F3142" s="5">
        <v>3.1</v>
      </c>
      <c r="G3142" s="4" t="s">
        <v>21</v>
      </c>
      <c r="H3142" s="6">
        <f t="shared" si="49"/>
        <v>7192</v>
      </c>
    </row>
    <row r="3143" spans="1:8" x14ac:dyDescent="0.2">
      <c r="A3143" s="2" t="s">
        <v>3231</v>
      </c>
      <c r="B3143" s="2" t="s">
        <v>3140</v>
      </c>
      <c r="C3143" s="2" t="s">
        <v>147</v>
      </c>
      <c r="D3143" s="3">
        <v>821</v>
      </c>
      <c r="E3143" s="4" t="s">
        <v>53</v>
      </c>
      <c r="F3143" s="5">
        <v>15.17</v>
      </c>
      <c r="G3143" s="4" t="s">
        <v>54</v>
      </c>
      <c r="H3143" s="6">
        <f t="shared" si="49"/>
        <v>12454.57</v>
      </c>
    </row>
    <row r="3144" spans="1:8" x14ac:dyDescent="0.2">
      <c r="A3144" s="2" t="s">
        <v>3232</v>
      </c>
      <c r="B3144" s="2" t="s">
        <v>3140</v>
      </c>
      <c r="C3144" s="2" t="s">
        <v>118</v>
      </c>
      <c r="D3144" s="3">
        <v>2615</v>
      </c>
      <c r="E3144" s="4" t="s">
        <v>24</v>
      </c>
      <c r="F3144" s="5">
        <v>1.06</v>
      </c>
      <c r="G3144" s="4" t="s">
        <v>25</v>
      </c>
      <c r="H3144" s="6">
        <f t="shared" si="49"/>
        <v>2771.9</v>
      </c>
    </row>
    <row r="3145" spans="1:8" x14ac:dyDescent="0.2">
      <c r="A3145" s="2" t="s">
        <v>3233</v>
      </c>
      <c r="B3145" s="2" t="s">
        <v>3140</v>
      </c>
      <c r="C3145" s="2" t="s">
        <v>67</v>
      </c>
      <c r="D3145" s="3">
        <v>1490</v>
      </c>
      <c r="E3145" s="4" t="s">
        <v>24</v>
      </c>
      <c r="F3145" s="5">
        <v>0.4</v>
      </c>
      <c r="G3145" s="4" t="s">
        <v>25</v>
      </c>
      <c r="H3145" s="6">
        <f t="shared" si="49"/>
        <v>596</v>
      </c>
    </row>
    <row r="3146" spans="1:8" x14ac:dyDescent="0.2">
      <c r="A3146" s="2" t="s">
        <v>3234</v>
      </c>
      <c r="B3146" s="2" t="s">
        <v>3140</v>
      </c>
      <c r="C3146" s="2" t="s">
        <v>29</v>
      </c>
      <c r="D3146" s="3">
        <v>4529</v>
      </c>
      <c r="E3146" s="4" t="s">
        <v>30</v>
      </c>
      <c r="F3146" s="5">
        <v>1.71</v>
      </c>
      <c r="G3146" s="4" t="s">
        <v>31</v>
      </c>
      <c r="H3146" s="6">
        <f t="shared" si="49"/>
        <v>7744.59</v>
      </c>
    </row>
    <row r="3147" spans="1:8" x14ac:dyDescent="0.2">
      <c r="A3147" s="2" t="s">
        <v>3235</v>
      </c>
      <c r="B3147" s="2" t="s">
        <v>3140</v>
      </c>
      <c r="C3147" s="2" t="s">
        <v>67</v>
      </c>
      <c r="D3147" s="3">
        <v>3916</v>
      </c>
      <c r="E3147" s="4" t="s">
        <v>24</v>
      </c>
      <c r="F3147" s="5">
        <v>0.48</v>
      </c>
      <c r="G3147" s="4" t="s">
        <v>25</v>
      </c>
      <c r="H3147" s="6">
        <f t="shared" si="49"/>
        <v>1879.6799999999998</v>
      </c>
    </row>
    <row r="3148" spans="1:8" x14ac:dyDescent="0.2">
      <c r="A3148" s="2" t="s">
        <v>3236</v>
      </c>
      <c r="B3148" s="2" t="s">
        <v>3140</v>
      </c>
      <c r="C3148" s="2" t="s">
        <v>86</v>
      </c>
      <c r="D3148" s="3">
        <v>87</v>
      </c>
      <c r="E3148" s="4" t="s">
        <v>72</v>
      </c>
      <c r="F3148" s="5">
        <v>8761.32</v>
      </c>
      <c r="G3148" s="4" t="s">
        <v>73</v>
      </c>
      <c r="H3148" s="6">
        <f t="shared" si="49"/>
        <v>762234.84</v>
      </c>
    </row>
    <row r="3149" spans="1:8" x14ac:dyDescent="0.2">
      <c r="A3149" s="2" t="s">
        <v>3237</v>
      </c>
      <c r="B3149" s="2" t="s">
        <v>3140</v>
      </c>
      <c r="C3149" s="2" t="s">
        <v>89</v>
      </c>
      <c r="D3149" s="3">
        <v>1045</v>
      </c>
      <c r="E3149" s="4" t="s">
        <v>30</v>
      </c>
      <c r="F3149" s="5">
        <v>1.97</v>
      </c>
      <c r="G3149" s="4" t="s">
        <v>31</v>
      </c>
      <c r="H3149" s="6">
        <f t="shared" si="49"/>
        <v>2058.65</v>
      </c>
    </row>
    <row r="3150" spans="1:8" x14ac:dyDescent="0.2">
      <c r="A3150" s="2" t="s">
        <v>3238</v>
      </c>
      <c r="B3150" s="2" t="s">
        <v>3140</v>
      </c>
      <c r="C3150" s="2" t="s">
        <v>46</v>
      </c>
      <c r="D3150" s="3">
        <v>2200</v>
      </c>
      <c r="E3150" s="4" t="s">
        <v>20</v>
      </c>
      <c r="F3150" s="5">
        <v>2.11</v>
      </c>
      <c r="G3150" s="4" t="s">
        <v>21</v>
      </c>
      <c r="H3150" s="6">
        <f t="shared" si="49"/>
        <v>4642</v>
      </c>
    </row>
    <row r="3151" spans="1:8" x14ac:dyDescent="0.2">
      <c r="A3151" s="2" t="s">
        <v>3239</v>
      </c>
      <c r="B3151" s="2" t="s">
        <v>3140</v>
      </c>
      <c r="C3151" s="2" t="s">
        <v>19</v>
      </c>
      <c r="D3151" s="3">
        <v>2050</v>
      </c>
      <c r="E3151" s="4" t="s">
        <v>20</v>
      </c>
      <c r="F3151" s="5">
        <v>1.51</v>
      </c>
      <c r="G3151" s="4" t="s">
        <v>21</v>
      </c>
      <c r="H3151" s="6">
        <f t="shared" si="49"/>
        <v>3095.5</v>
      </c>
    </row>
    <row r="3152" spans="1:8" x14ac:dyDescent="0.2">
      <c r="A3152" s="2" t="s">
        <v>3240</v>
      </c>
      <c r="B3152" s="2" t="s">
        <v>3140</v>
      </c>
      <c r="C3152" s="2" t="s">
        <v>52</v>
      </c>
      <c r="D3152" s="3">
        <v>3760</v>
      </c>
      <c r="E3152" s="4" t="s">
        <v>53</v>
      </c>
      <c r="F3152" s="5">
        <v>9.92</v>
      </c>
      <c r="G3152" s="4" t="s">
        <v>54</v>
      </c>
      <c r="H3152" s="6">
        <f t="shared" si="49"/>
        <v>37299.199999999997</v>
      </c>
    </row>
    <row r="3153" spans="1:8" x14ac:dyDescent="0.2">
      <c r="A3153" s="2" t="s">
        <v>3241</v>
      </c>
      <c r="B3153" s="2" t="s">
        <v>3140</v>
      </c>
      <c r="C3153" s="2" t="s">
        <v>19</v>
      </c>
      <c r="D3153" s="3">
        <v>3849</v>
      </c>
      <c r="E3153" s="4" t="s">
        <v>20</v>
      </c>
      <c r="F3153" s="5">
        <v>1.4</v>
      </c>
      <c r="G3153" s="4" t="s">
        <v>21</v>
      </c>
      <c r="H3153" s="6">
        <f t="shared" si="49"/>
        <v>5388.5999999999995</v>
      </c>
    </row>
    <row r="3154" spans="1:8" x14ac:dyDescent="0.2">
      <c r="A3154" s="2" t="s">
        <v>3242</v>
      </c>
      <c r="B3154" s="2" t="s">
        <v>3140</v>
      </c>
      <c r="C3154" s="2" t="s">
        <v>86</v>
      </c>
      <c r="D3154" s="3">
        <v>3514</v>
      </c>
      <c r="E3154" s="4" t="s">
        <v>72</v>
      </c>
      <c r="F3154" s="5">
        <v>8528.83</v>
      </c>
      <c r="G3154" s="4" t="s">
        <v>73</v>
      </c>
      <c r="H3154" s="6">
        <f t="shared" si="49"/>
        <v>29970308.620000001</v>
      </c>
    </row>
    <row r="3155" spans="1:8" x14ac:dyDescent="0.2">
      <c r="A3155" s="2" t="s">
        <v>3243</v>
      </c>
      <c r="B3155" s="2" t="s">
        <v>3140</v>
      </c>
      <c r="C3155" s="2" t="s">
        <v>42</v>
      </c>
      <c r="D3155" s="3">
        <v>2510</v>
      </c>
      <c r="E3155" s="4" t="s">
        <v>24</v>
      </c>
      <c r="F3155" s="5">
        <v>5.41</v>
      </c>
      <c r="G3155" s="4" t="s">
        <v>25</v>
      </c>
      <c r="H3155" s="6">
        <f t="shared" si="49"/>
        <v>13579.1</v>
      </c>
    </row>
    <row r="3156" spans="1:8" x14ac:dyDescent="0.2">
      <c r="A3156" s="2" t="s">
        <v>3244</v>
      </c>
      <c r="B3156" s="2" t="s">
        <v>3245</v>
      </c>
      <c r="C3156" s="2" t="s">
        <v>27</v>
      </c>
      <c r="D3156" s="3">
        <v>2513</v>
      </c>
      <c r="E3156" s="4" t="s">
        <v>20</v>
      </c>
      <c r="F3156" s="5">
        <v>1.69</v>
      </c>
      <c r="G3156" s="4" t="s">
        <v>21</v>
      </c>
      <c r="H3156" s="6">
        <f t="shared" si="49"/>
        <v>4246.97</v>
      </c>
    </row>
    <row r="3157" spans="1:8" x14ac:dyDescent="0.2">
      <c r="A3157" s="2" t="s">
        <v>3246</v>
      </c>
      <c r="B3157" s="2" t="s">
        <v>3245</v>
      </c>
      <c r="C3157" s="2" t="s">
        <v>57</v>
      </c>
      <c r="D3157" s="3">
        <v>748</v>
      </c>
      <c r="E3157" s="4" t="s">
        <v>20</v>
      </c>
      <c r="F3157" s="5">
        <v>0.85</v>
      </c>
      <c r="G3157" s="4" t="s">
        <v>21</v>
      </c>
      <c r="H3157" s="6">
        <f t="shared" si="49"/>
        <v>635.79999999999995</v>
      </c>
    </row>
    <row r="3158" spans="1:8" x14ac:dyDescent="0.2">
      <c r="A3158" s="2" t="s">
        <v>3247</v>
      </c>
      <c r="B3158" s="2" t="s">
        <v>3245</v>
      </c>
      <c r="C3158" s="2" t="s">
        <v>27</v>
      </c>
      <c r="D3158" s="3">
        <v>1976</v>
      </c>
      <c r="E3158" s="4" t="s">
        <v>20</v>
      </c>
      <c r="F3158" s="5">
        <v>2.33</v>
      </c>
      <c r="G3158" s="4" t="s">
        <v>21</v>
      </c>
      <c r="H3158" s="6">
        <f t="shared" si="49"/>
        <v>4604.08</v>
      </c>
    </row>
    <row r="3159" spans="1:8" x14ac:dyDescent="0.2">
      <c r="A3159" s="2" t="s">
        <v>3248</v>
      </c>
      <c r="B3159" s="2" t="s">
        <v>3245</v>
      </c>
      <c r="C3159" s="2" t="s">
        <v>118</v>
      </c>
      <c r="D3159" s="3">
        <v>4722</v>
      </c>
      <c r="E3159" s="4" t="s">
        <v>24</v>
      </c>
      <c r="F3159" s="5">
        <v>0.44</v>
      </c>
      <c r="G3159" s="4" t="s">
        <v>25</v>
      </c>
      <c r="H3159" s="6">
        <f t="shared" si="49"/>
        <v>2077.6799999999998</v>
      </c>
    </row>
    <row r="3160" spans="1:8" x14ac:dyDescent="0.2">
      <c r="A3160" s="2" t="s">
        <v>3249</v>
      </c>
      <c r="B3160" s="2" t="s">
        <v>3245</v>
      </c>
      <c r="C3160" s="2" t="s">
        <v>71</v>
      </c>
      <c r="D3160" s="3">
        <v>4549</v>
      </c>
      <c r="E3160" s="4" t="s">
        <v>72</v>
      </c>
      <c r="F3160" s="5">
        <v>2957.75</v>
      </c>
      <c r="G3160" s="4" t="s">
        <v>73</v>
      </c>
      <c r="H3160" s="6">
        <f t="shared" si="49"/>
        <v>13454804.75</v>
      </c>
    </row>
    <row r="3161" spans="1:8" x14ac:dyDescent="0.2">
      <c r="A3161" s="2" t="s">
        <v>3250</v>
      </c>
      <c r="B3161" s="2" t="s">
        <v>3245</v>
      </c>
      <c r="C3161" s="2" t="s">
        <v>33</v>
      </c>
      <c r="D3161" s="3">
        <v>3483</v>
      </c>
      <c r="E3161" s="4" t="s">
        <v>34</v>
      </c>
      <c r="F3161" s="5">
        <v>5.19</v>
      </c>
      <c r="G3161" s="4" t="s">
        <v>35</v>
      </c>
      <c r="H3161" s="6">
        <f t="shared" si="49"/>
        <v>18076.77</v>
      </c>
    </row>
    <row r="3162" spans="1:8" x14ac:dyDescent="0.2">
      <c r="A3162" s="2" t="s">
        <v>3251</v>
      </c>
      <c r="B3162" s="2" t="s">
        <v>3245</v>
      </c>
      <c r="C3162" s="2" t="s">
        <v>89</v>
      </c>
      <c r="D3162" s="3">
        <v>3939</v>
      </c>
      <c r="E3162" s="4" t="s">
        <v>30</v>
      </c>
      <c r="F3162" s="5">
        <v>2.4</v>
      </c>
      <c r="G3162" s="4" t="s">
        <v>31</v>
      </c>
      <c r="H3162" s="6">
        <f t="shared" si="49"/>
        <v>9453.6</v>
      </c>
    </row>
    <row r="3163" spans="1:8" x14ac:dyDescent="0.2">
      <c r="A3163" s="2" t="s">
        <v>3252</v>
      </c>
      <c r="B3163" s="2" t="s">
        <v>3245</v>
      </c>
      <c r="C3163" s="2" t="s">
        <v>29</v>
      </c>
      <c r="D3163" s="3">
        <v>1031</v>
      </c>
      <c r="E3163" s="4" t="s">
        <v>30</v>
      </c>
      <c r="F3163" s="5">
        <v>1.49</v>
      </c>
      <c r="G3163" s="4" t="s">
        <v>31</v>
      </c>
      <c r="H3163" s="6">
        <f t="shared" si="49"/>
        <v>1536.19</v>
      </c>
    </row>
    <row r="3164" spans="1:8" x14ac:dyDescent="0.2">
      <c r="A3164" s="2" t="s">
        <v>3253</v>
      </c>
      <c r="B3164" s="2" t="s">
        <v>3245</v>
      </c>
      <c r="C3164" s="2" t="s">
        <v>147</v>
      </c>
      <c r="D3164" s="3">
        <v>1567</v>
      </c>
      <c r="E3164" s="4" t="s">
        <v>53</v>
      </c>
      <c r="F3164" s="5">
        <v>15.29</v>
      </c>
      <c r="G3164" s="4" t="s">
        <v>54</v>
      </c>
      <c r="H3164" s="6">
        <f t="shared" si="49"/>
        <v>23959.43</v>
      </c>
    </row>
    <row r="3165" spans="1:8" x14ac:dyDescent="0.2">
      <c r="A3165" s="2" t="s">
        <v>3254</v>
      </c>
      <c r="B3165" s="2" t="s">
        <v>3245</v>
      </c>
      <c r="C3165" s="2" t="s">
        <v>33</v>
      </c>
      <c r="D3165" s="3">
        <v>3491</v>
      </c>
      <c r="E3165" s="4" t="s">
        <v>34</v>
      </c>
      <c r="F3165" s="5">
        <v>5.26</v>
      </c>
      <c r="G3165" s="4" t="s">
        <v>35</v>
      </c>
      <c r="H3165" s="6">
        <f t="shared" si="49"/>
        <v>18362.66</v>
      </c>
    </row>
    <row r="3166" spans="1:8" x14ac:dyDescent="0.2">
      <c r="A3166" s="2" t="s">
        <v>3255</v>
      </c>
      <c r="B3166" s="2" t="s">
        <v>3245</v>
      </c>
      <c r="C3166" s="2" t="s">
        <v>19</v>
      </c>
      <c r="D3166" s="3">
        <v>2010</v>
      </c>
      <c r="E3166" s="4" t="s">
        <v>20</v>
      </c>
      <c r="F3166" s="5">
        <v>1.7</v>
      </c>
      <c r="G3166" s="4" t="s">
        <v>21</v>
      </c>
      <c r="H3166" s="6">
        <f t="shared" si="49"/>
        <v>3417</v>
      </c>
    </row>
    <row r="3167" spans="1:8" x14ac:dyDescent="0.2">
      <c r="A3167" s="2" t="s">
        <v>3256</v>
      </c>
      <c r="B3167" s="2" t="s">
        <v>3245</v>
      </c>
      <c r="C3167" s="2" t="s">
        <v>78</v>
      </c>
      <c r="D3167" s="3">
        <v>5000</v>
      </c>
      <c r="E3167" s="4" t="s">
        <v>38</v>
      </c>
      <c r="F3167" s="5">
        <v>1.57</v>
      </c>
      <c r="G3167" s="4" t="s">
        <v>39</v>
      </c>
      <c r="H3167" s="6">
        <f t="shared" si="49"/>
        <v>7850</v>
      </c>
    </row>
    <row r="3168" spans="1:8" x14ac:dyDescent="0.2">
      <c r="A3168" s="2" t="s">
        <v>3257</v>
      </c>
      <c r="B3168" s="2" t="s">
        <v>3245</v>
      </c>
      <c r="C3168" s="2" t="s">
        <v>23</v>
      </c>
      <c r="D3168" s="3">
        <v>1390</v>
      </c>
      <c r="E3168" s="4" t="s">
        <v>24</v>
      </c>
      <c r="F3168" s="5">
        <v>16.05</v>
      </c>
      <c r="G3168" s="4" t="s">
        <v>25</v>
      </c>
      <c r="H3168" s="6">
        <f t="shared" si="49"/>
        <v>22309.5</v>
      </c>
    </row>
    <row r="3169" spans="1:8" x14ac:dyDescent="0.2">
      <c r="A3169" s="2" t="s">
        <v>3258</v>
      </c>
      <c r="B3169" s="2" t="s">
        <v>3245</v>
      </c>
      <c r="C3169" s="2" t="s">
        <v>78</v>
      </c>
      <c r="D3169" s="3">
        <v>1853</v>
      </c>
      <c r="E3169" s="4" t="s">
        <v>38</v>
      </c>
      <c r="F3169" s="5">
        <v>1.8</v>
      </c>
      <c r="G3169" s="4" t="s">
        <v>39</v>
      </c>
      <c r="H3169" s="6">
        <f t="shared" si="49"/>
        <v>3335.4</v>
      </c>
    </row>
    <row r="3170" spans="1:8" x14ac:dyDescent="0.2">
      <c r="A3170" s="2" t="s">
        <v>3259</v>
      </c>
      <c r="B3170" s="2" t="s">
        <v>3245</v>
      </c>
      <c r="C3170" s="2" t="s">
        <v>19</v>
      </c>
      <c r="D3170" s="3">
        <v>1102</v>
      </c>
      <c r="E3170" s="4" t="s">
        <v>20</v>
      </c>
      <c r="F3170" s="5">
        <v>1.41</v>
      </c>
      <c r="G3170" s="4" t="s">
        <v>21</v>
      </c>
      <c r="H3170" s="6">
        <f t="shared" si="49"/>
        <v>1553.82</v>
      </c>
    </row>
    <row r="3171" spans="1:8" x14ac:dyDescent="0.2">
      <c r="A3171" s="2" t="s">
        <v>3260</v>
      </c>
      <c r="B3171" s="2" t="s">
        <v>3245</v>
      </c>
      <c r="C3171" s="2" t="s">
        <v>37</v>
      </c>
      <c r="D3171" s="3">
        <v>3472</v>
      </c>
      <c r="E3171" s="4" t="s">
        <v>38</v>
      </c>
      <c r="F3171" s="5">
        <v>3.49</v>
      </c>
      <c r="G3171" s="4" t="s">
        <v>39</v>
      </c>
      <c r="H3171" s="6">
        <f t="shared" si="49"/>
        <v>12117.28</v>
      </c>
    </row>
    <row r="3172" spans="1:8" x14ac:dyDescent="0.2">
      <c r="A3172" s="2" t="s">
        <v>3261</v>
      </c>
      <c r="B3172" s="2" t="s">
        <v>3245</v>
      </c>
      <c r="C3172" s="2" t="s">
        <v>118</v>
      </c>
      <c r="D3172" s="3">
        <v>3067</v>
      </c>
      <c r="E3172" s="4" t="s">
        <v>24</v>
      </c>
      <c r="F3172" s="5">
        <v>1.08</v>
      </c>
      <c r="G3172" s="4" t="s">
        <v>25</v>
      </c>
      <c r="H3172" s="6">
        <f t="shared" si="49"/>
        <v>3312.36</v>
      </c>
    </row>
    <row r="3173" spans="1:8" x14ac:dyDescent="0.2">
      <c r="A3173" s="2" t="s">
        <v>3262</v>
      </c>
      <c r="B3173" s="2" t="s">
        <v>3245</v>
      </c>
      <c r="C3173" s="2" t="s">
        <v>57</v>
      </c>
      <c r="D3173" s="3">
        <v>2056</v>
      </c>
      <c r="E3173" s="4" t="s">
        <v>20</v>
      </c>
      <c r="F3173" s="5">
        <v>0.93</v>
      </c>
      <c r="G3173" s="4" t="s">
        <v>21</v>
      </c>
      <c r="H3173" s="6">
        <f t="shared" si="49"/>
        <v>1912.0800000000002</v>
      </c>
    </row>
    <row r="3174" spans="1:8" x14ac:dyDescent="0.2">
      <c r="A3174" s="2" t="s">
        <v>3263</v>
      </c>
      <c r="B3174" s="2" t="s">
        <v>3245</v>
      </c>
      <c r="C3174" s="2" t="s">
        <v>50</v>
      </c>
      <c r="D3174" s="3">
        <v>2386</v>
      </c>
      <c r="E3174" s="4" t="s">
        <v>20</v>
      </c>
      <c r="F3174" s="5">
        <v>0.88</v>
      </c>
      <c r="G3174" s="4" t="s">
        <v>21</v>
      </c>
      <c r="H3174" s="6">
        <f t="shared" si="49"/>
        <v>2099.6799999999998</v>
      </c>
    </row>
    <row r="3175" spans="1:8" x14ac:dyDescent="0.2">
      <c r="A3175" s="2" t="s">
        <v>3264</v>
      </c>
      <c r="B3175" s="2" t="s">
        <v>3245</v>
      </c>
      <c r="C3175" s="2" t="s">
        <v>71</v>
      </c>
      <c r="D3175" s="3">
        <v>2178</v>
      </c>
      <c r="E3175" s="4" t="s">
        <v>72</v>
      </c>
      <c r="F3175" s="5">
        <v>2527.84</v>
      </c>
      <c r="G3175" s="4" t="s">
        <v>73</v>
      </c>
      <c r="H3175" s="6">
        <f t="shared" si="49"/>
        <v>5505635.5200000005</v>
      </c>
    </row>
    <row r="3176" spans="1:8" x14ac:dyDescent="0.2">
      <c r="A3176" s="2" t="s">
        <v>3265</v>
      </c>
      <c r="B3176" s="2" t="s">
        <v>3245</v>
      </c>
      <c r="C3176" s="2" t="s">
        <v>46</v>
      </c>
      <c r="D3176" s="3">
        <v>3234</v>
      </c>
      <c r="E3176" s="4" t="s">
        <v>20</v>
      </c>
      <c r="F3176" s="5">
        <v>2.4300000000000002</v>
      </c>
      <c r="G3176" s="4" t="s">
        <v>21</v>
      </c>
      <c r="H3176" s="6">
        <f t="shared" si="49"/>
        <v>7858.6200000000008</v>
      </c>
    </row>
    <row r="3177" spans="1:8" x14ac:dyDescent="0.2">
      <c r="A3177" s="2" t="s">
        <v>3266</v>
      </c>
      <c r="B3177" s="2" t="s">
        <v>3245</v>
      </c>
      <c r="C3177" s="2" t="s">
        <v>71</v>
      </c>
      <c r="D3177" s="3">
        <v>4233</v>
      </c>
      <c r="E3177" s="4" t="s">
        <v>72</v>
      </c>
      <c r="F3177" s="5">
        <v>2895.44</v>
      </c>
      <c r="G3177" s="4" t="s">
        <v>73</v>
      </c>
      <c r="H3177" s="6">
        <f t="shared" si="49"/>
        <v>12256397.52</v>
      </c>
    </row>
    <row r="3178" spans="1:8" x14ac:dyDescent="0.2">
      <c r="A3178" s="2" t="s">
        <v>3267</v>
      </c>
      <c r="B3178" s="2" t="s">
        <v>3245</v>
      </c>
      <c r="C3178" s="2" t="s">
        <v>37</v>
      </c>
      <c r="D3178" s="3">
        <v>3803</v>
      </c>
      <c r="E3178" s="4" t="s">
        <v>38</v>
      </c>
      <c r="F3178" s="5">
        <v>4.68</v>
      </c>
      <c r="G3178" s="4" t="s">
        <v>39</v>
      </c>
      <c r="H3178" s="6">
        <f t="shared" si="49"/>
        <v>17798.039999999997</v>
      </c>
    </row>
    <row r="3179" spans="1:8" x14ac:dyDescent="0.2">
      <c r="A3179" s="2" t="s">
        <v>3268</v>
      </c>
      <c r="B3179" s="2" t="s">
        <v>3245</v>
      </c>
      <c r="C3179" s="2" t="s">
        <v>48</v>
      </c>
      <c r="D3179" s="3">
        <v>481</v>
      </c>
      <c r="E3179" s="4" t="s">
        <v>24</v>
      </c>
      <c r="F3179" s="5">
        <v>0.1</v>
      </c>
      <c r="G3179" s="4" t="s">
        <v>25</v>
      </c>
      <c r="H3179" s="6">
        <f t="shared" si="49"/>
        <v>48.1</v>
      </c>
    </row>
    <row r="3180" spans="1:8" x14ac:dyDescent="0.2">
      <c r="A3180" s="2" t="s">
        <v>3269</v>
      </c>
      <c r="B3180" s="2" t="s">
        <v>3245</v>
      </c>
      <c r="C3180" s="2" t="s">
        <v>147</v>
      </c>
      <c r="D3180" s="3">
        <v>3781</v>
      </c>
      <c r="E3180" s="4" t="s">
        <v>53</v>
      </c>
      <c r="F3180" s="5">
        <v>10.63</v>
      </c>
      <c r="G3180" s="4" t="s">
        <v>54</v>
      </c>
      <c r="H3180" s="6">
        <f t="shared" si="49"/>
        <v>40192.030000000006</v>
      </c>
    </row>
    <row r="3181" spans="1:8" x14ac:dyDescent="0.2">
      <c r="A3181" s="2" t="s">
        <v>3270</v>
      </c>
      <c r="B3181" s="2" t="s">
        <v>3245</v>
      </c>
      <c r="C3181" s="2" t="s">
        <v>19</v>
      </c>
      <c r="D3181" s="3">
        <v>887</v>
      </c>
      <c r="E3181" s="4" t="s">
        <v>20</v>
      </c>
      <c r="F3181" s="5">
        <v>1.1000000000000001</v>
      </c>
      <c r="G3181" s="4" t="s">
        <v>21</v>
      </c>
      <c r="H3181" s="6">
        <f t="shared" si="49"/>
        <v>975.7</v>
      </c>
    </row>
    <row r="3182" spans="1:8" x14ac:dyDescent="0.2">
      <c r="A3182" s="2" t="s">
        <v>3271</v>
      </c>
      <c r="B3182" s="2" t="s">
        <v>3245</v>
      </c>
      <c r="C3182" s="2" t="s">
        <v>118</v>
      </c>
      <c r="D3182" s="3">
        <v>3303</v>
      </c>
      <c r="E3182" s="4" t="s">
        <v>24</v>
      </c>
      <c r="F3182" s="5">
        <v>0.65</v>
      </c>
      <c r="G3182" s="4" t="s">
        <v>25</v>
      </c>
      <c r="H3182" s="6">
        <f t="shared" si="49"/>
        <v>2146.9500000000003</v>
      </c>
    </row>
    <row r="3183" spans="1:8" x14ac:dyDescent="0.2">
      <c r="A3183" s="2" t="s">
        <v>3272</v>
      </c>
      <c r="B3183" s="2" t="s">
        <v>3245</v>
      </c>
      <c r="C3183" s="2" t="s">
        <v>50</v>
      </c>
      <c r="D3183" s="3">
        <v>3539</v>
      </c>
      <c r="E3183" s="4" t="s">
        <v>20</v>
      </c>
      <c r="F3183" s="5">
        <v>1</v>
      </c>
      <c r="G3183" s="4" t="s">
        <v>21</v>
      </c>
      <c r="H3183" s="6">
        <f t="shared" si="49"/>
        <v>3539</v>
      </c>
    </row>
    <row r="3184" spans="1:8" x14ac:dyDescent="0.2">
      <c r="A3184" s="2" t="s">
        <v>3273</v>
      </c>
      <c r="B3184" s="2" t="s">
        <v>3245</v>
      </c>
      <c r="C3184" s="2" t="s">
        <v>27</v>
      </c>
      <c r="D3184" s="3">
        <v>4344</v>
      </c>
      <c r="E3184" s="4" t="s">
        <v>20</v>
      </c>
      <c r="F3184" s="5">
        <v>1.82</v>
      </c>
      <c r="G3184" s="4" t="s">
        <v>21</v>
      </c>
      <c r="H3184" s="6">
        <f t="shared" si="49"/>
        <v>7906.08</v>
      </c>
    </row>
    <row r="3185" spans="1:8" x14ac:dyDescent="0.2">
      <c r="A3185" s="2" t="s">
        <v>3274</v>
      </c>
      <c r="B3185" s="2" t="s">
        <v>3245</v>
      </c>
      <c r="C3185" s="2" t="s">
        <v>89</v>
      </c>
      <c r="D3185" s="3">
        <v>3374</v>
      </c>
      <c r="E3185" s="4" t="s">
        <v>30</v>
      </c>
      <c r="F3185" s="5">
        <v>1.95</v>
      </c>
      <c r="G3185" s="4" t="s">
        <v>31</v>
      </c>
      <c r="H3185" s="6">
        <f t="shared" si="49"/>
        <v>6579.3</v>
      </c>
    </row>
    <row r="3186" spans="1:8" x14ac:dyDescent="0.2">
      <c r="A3186" s="2" t="s">
        <v>3275</v>
      </c>
      <c r="B3186" s="2" t="s">
        <v>3245</v>
      </c>
      <c r="C3186" s="2" t="s">
        <v>48</v>
      </c>
      <c r="D3186" s="3">
        <v>66</v>
      </c>
      <c r="E3186" s="4" t="s">
        <v>24</v>
      </c>
      <c r="F3186" s="5">
        <v>7.0000000000000007E-2</v>
      </c>
      <c r="G3186" s="4" t="s">
        <v>25</v>
      </c>
      <c r="H3186" s="6">
        <f t="shared" si="49"/>
        <v>4.62</v>
      </c>
    </row>
    <row r="3187" spans="1:8" x14ac:dyDescent="0.2">
      <c r="A3187" s="2" t="s">
        <v>3276</v>
      </c>
      <c r="B3187" s="2" t="s">
        <v>3245</v>
      </c>
      <c r="C3187" s="2" t="s">
        <v>86</v>
      </c>
      <c r="D3187" s="3">
        <v>1862</v>
      </c>
      <c r="E3187" s="4" t="s">
        <v>72</v>
      </c>
      <c r="F3187" s="5">
        <v>8458.98</v>
      </c>
      <c r="G3187" s="4" t="s">
        <v>73</v>
      </c>
      <c r="H3187" s="6">
        <f t="shared" si="49"/>
        <v>15750620.76</v>
      </c>
    </row>
    <row r="3188" spans="1:8" x14ac:dyDescent="0.2">
      <c r="A3188" s="2" t="s">
        <v>3277</v>
      </c>
      <c r="B3188" s="2" t="s">
        <v>3245</v>
      </c>
      <c r="C3188" s="2" t="s">
        <v>19</v>
      </c>
      <c r="D3188" s="3">
        <v>2461</v>
      </c>
      <c r="E3188" s="4" t="s">
        <v>20</v>
      </c>
      <c r="F3188" s="5">
        <v>1.32</v>
      </c>
      <c r="G3188" s="4" t="s">
        <v>21</v>
      </c>
      <c r="H3188" s="6">
        <f t="shared" si="49"/>
        <v>3248.52</v>
      </c>
    </row>
    <row r="3189" spans="1:8" x14ac:dyDescent="0.2">
      <c r="A3189" s="2" t="s">
        <v>3278</v>
      </c>
      <c r="B3189" s="2" t="s">
        <v>3245</v>
      </c>
      <c r="C3189" s="2" t="s">
        <v>118</v>
      </c>
      <c r="D3189" s="3">
        <v>4404</v>
      </c>
      <c r="E3189" s="4" t="s">
        <v>24</v>
      </c>
      <c r="F3189" s="5">
        <v>0.97</v>
      </c>
      <c r="G3189" s="4" t="s">
        <v>25</v>
      </c>
      <c r="H3189" s="6">
        <f t="shared" si="49"/>
        <v>4271.88</v>
      </c>
    </row>
    <row r="3190" spans="1:8" x14ac:dyDescent="0.2">
      <c r="A3190" s="2" t="s">
        <v>3279</v>
      </c>
      <c r="B3190" s="2" t="s">
        <v>3245</v>
      </c>
      <c r="C3190" s="2" t="s">
        <v>50</v>
      </c>
      <c r="D3190" s="3">
        <v>3602</v>
      </c>
      <c r="E3190" s="4" t="s">
        <v>20</v>
      </c>
      <c r="F3190" s="5">
        <v>1.0900000000000001</v>
      </c>
      <c r="G3190" s="4" t="s">
        <v>21</v>
      </c>
      <c r="H3190" s="6">
        <f t="shared" si="49"/>
        <v>3926.1800000000003</v>
      </c>
    </row>
    <row r="3191" spans="1:8" x14ac:dyDescent="0.2">
      <c r="A3191" s="2" t="s">
        <v>3280</v>
      </c>
      <c r="B3191" s="2" t="s">
        <v>3245</v>
      </c>
      <c r="C3191" s="2" t="s">
        <v>23</v>
      </c>
      <c r="D3191" s="3">
        <v>1335</v>
      </c>
      <c r="E3191" s="4" t="s">
        <v>24</v>
      </c>
      <c r="F3191" s="5">
        <v>12.84</v>
      </c>
      <c r="G3191" s="4" t="s">
        <v>25</v>
      </c>
      <c r="H3191" s="6">
        <f t="shared" si="49"/>
        <v>17141.400000000001</v>
      </c>
    </row>
    <row r="3192" spans="1:8" x14ac:dyDescent="0.2">
      <c r="A3192" s="2" t="s">
        <v>3281</v>
      </c>
      <c r="B3192" s="2" t="s">
        <v>3245</v>
      </c>
      <c r="C3192" s="2" t="s">
        <v>52</v>
      </c>
      <c r="D3192" s="3">
        <v>57</v>
      </c>
      <c r="E3192" s="4" t="s">
        <v>53</v>
      </c>
      <c r="F3192" s="5">
        <v>10.8</v>
      </c>
      <c r="G3192" s="4" t="s">
        <v>54</v>
      </c>
      <c r="H3192" s="6">
        <f t="shared" si="49"/>
        <v>615.6</v>
      </c>
    </row>
    <row r="3193" spans="1:8" x14ac:dyDescent="0.2">
      <c r="A3193" s="2" t="s">
        <v>3282</v>
      </c>
      <c r="B3193" s="2" t="s">
        <v>3245</v>
      </c>
      <c r="C3193" s="2" t="s">
        <v>44</v>
      </c>
      <c r="D3193" s="3">
        <v>916</v>
      </c>
      <c r="E3193" s="4" t="s">
        <v>24</v>
      </c>
      <c r="F3193" s="5">
        <v>1.03</v>
      </c>
      <c r="G3193" s="4" t="s">
        <v>25</v>
      </c>
      <c r="H3193" s="6">
        <f t="shared" si="49"/>
        <v>943.48</v>
      </c>
    </row>
    <row r="3194" spans="1:8" x14ac:dyDescent="0.2">
      <c r="A3194" s="2" t="s">
        <v>3283</v>
      </c>
      <c r="B3194" s="2" t="s">
        <v>3245</v>
      </c>
      <c r="C3194" s="2" t="s">
        <v>37</v>
      </c>
      <c r="D3194" s="3">
        <v>1105</v>
      </c>
      <c r="E3194" s="4" t="s">
        <v>38</v>
      </c>
      <c r="F3194" s="5">
        <v>3.18</v>
      </c>
      <c r="G3194" s="4" t="s">
        <v>39</v>
      </c>
      <c r="H3194" s="6">
        <f t="shared" si="49"/>
        <v>3513.9</v>
      </c>
    </row>
    <row r="3195" spans="1:8" x14ac:dyDescent="0.2">
      <c r="A3195" s="2" t="s">
        <v>3284</v>
      </c>
      <c r="B3195" s="2" t="s">
        <v>3245</v>
      </c>
      <c r="C3195" s="2" t="s">
        <v>57</v>
      </c>
      <c r="D3195" s="3">
        <v>268</v>
      </c>
      <c r="E3195" s="4" t="s">
        <v>20</v>
      </c>
      <c r="F3195" s="5">
        <v>0.66</v>
      </c>
      <c r="G3195" s="4" t="s">
        <v>21</v>
      </c>
      <c r="H3195" s="6">
        <f t="shared" si="49"/>
        <v>176.88</v>
      </c>
    </row>
    <row r="3196" spans="1:8" x14ac:dyDescent="0.2">
      <c r="A3196" s="2" t="s">
        <v>3285</v>
      </c>
      <c r="B3196" s="2" t="s">
        <v>3245</v>
      </c>
      <c r="C3196" s="2" t="s">
        <v>44</v>
      </c>
      <c r="D3196" s="3">
        <v>3936</v>
      </c>
      <c r="E3196" s="4" t="s">
        <v>24</v>
      </c>
      <c r="F3196" s="5">
        <v>1.57</v>
      </c>
      <c r="G3196" s="4" t="s">
        <v>25</v>
      </c>
      <c r="H3196" s="6">
        <f t="shared" si="49"/>
        <v>6179.52</v>
      </c>
    </row>
    <row r="3197" spans="1:8" x14ac:dyDescent="0.2">
      <c r="A3197" s="2" t="s">
        <v>3286</v>
      </c>
      <c r="B3197" s="2" t="s">
        <v>3245</v>
      </c>
      <c r="C3197" s="2" t="s">
        <v>86</v>
      </c>
      <c r="D3197" s="3">
        <v>983</v>
      </c>
      <c r="E3197" s="4" t="s">
        <v>72</v>
      </c>
      <c r="F3197" s="5">
        <v>8389.5300000000007</v>
      </c>
      <c r="G3197" s="4" t="s">
        <v>73</v>
      </c>
      <c r="H3197" s="6">
        <f t="shared" si="49"/>
        <v>8246907.9900000002</v>
      </c>
    </row>
    <row r="3198" spans="1:8" x14ac:dyDescent="0.2">
      <c r="A3198" s="2" t="s">
        <v>3287</v>
      </c>
      <c r="B3198" s="2" t="s">
        <v>3245</v>
      </c>
      <c r="C3198" s="2" t="s">
        <v>29</v>
      </c>
      <c r="D3198" s="3">
        <v>4069</v>
      </c>
      <c r="E3198" s="4" t="s">
        <v>30</v>
      </c>
      <c r="F3198" s="5">
        <v>1.96</v>
      </c>
      <c r="G3198" s="4" t="s">
        <v>31</v>
      </c>
      <c r="H3198" s="6">
        <f t="shared" si="49"/>
        <v>7975.24</v>
      </c>
    </row>
    <row r="3199" spans="1:8" x14ac:dyDescent="0.2">
      <c r="A3199" s="2" t="s">
        <v>3288</v>
      </c>
      <c r="B3199" s="2" t="s">
        <v>3245</v>
      </c>
      <c r="C3199" s="2" t="s">
        <v>89</v>
      </c>
      <c r="D3199" s="3">
        <v>2671</v>
      </c>
      <c r="E3199" s="4" t="s">
        <v>30</v>
      </c>
      <c r="F3199" s="5">
        <v>2.7</v>
      </c>
      <c r="G3199" s="4" t="s">
        <v>31</v>
      </c>
      <c r="H3199" s="6">
        <f t="shared" si="49"/>
        <v>7211.7000000000007</v>
      </c>
    </row>
    <row r="3200" spans="1:8" x14ac:dyDescent="0.2">
      <c r="A3200" s="2" t="s">
        <v>3289</v>
      </c>
      <c r="B3200" s="2" t="s">
        <v>3245</v>
      </c>
      <c r="C3200" s="2" t="s">
        <v>67</v>
      </c>
      <c r="D3200" s="3">
        <v>4121</v>
      </c>
      <c r="E3200" s="4" t="s">
        <v>24</v>
      </c>
      <c r="F3200" s="5">
        <v>0.52</v>
      </c>
      <c r="G3200" s="4" t="s">
        <v>25</v>
      </c>
      <c r="H3200" s="6">
        <f t="shared" si="49"/>
        <v>2142.92</v>
      </c>
    </row>
    <row r="3201" spans="1:8" x14ac:dyDescent="0.2">
      <c r="A3201" s="2" t="s">
        <v>3290</v>
      </c>
      <c r="B3201" s="2" t="s">
        <v>3245</v>
      </c>
      <c r="C3201" s="2" t="s">
        <v>67</v>
      </c>
      <c r="D3201" s="3">
        <v>1086</v>
      </c>
      <c r="E3201" s="4" t="s">
        <v>24</v>
      </c>
      <c r="F3201" s="5">
        <v>0.33</v>
      </c>
      <c r="G3201" s="4" t="s">
        <v>25</v>
      </c>
      <c r="H3201" s="6">
        <f t="shared" si="49"/>
        <v>358.38</v>
      </c>
    </row>
    <row r="3202" spans="1:8" x14ac:dyDescent="0.2">
      <c r="A3202" s="2" t="s">
        <v>3291</v>
      </c>
      <c r="B3202" s="2" t="s">
        <v>3245</v>
      </c>
      <c r="C3202" s="2" t="s">
        <v>50</v>
      </c>
      <c r="D3202" s="3">
        <v>183</v>
      </c>
      <c r="E3202" s="4" t="s">
        <v>20</v>
      </c>
      <c r="F3202" s="5">
        <v>0.78</v>
      </c>
      <c r="G3202" s="4" t="s">
        <v>21</v>
      </c>
      <c r="H3202" s="6">
        <f t="shared" ref="H3202:H3265" si="50">D3202*F3202</f>
        <v>142.74</v>
      </c>
    </row>
    <row r="3203" spans="1:8" x14ac:dyDescent="0.2">
      <c r="A3203" s="2" t="s">
        <v>3292</v>
      </c>
      <c r="B3203" s="2" t="s">
        <v>3245</v>
      </c>
      <c r="C3203" s="2" t="s">
        <v>19</v>
      </c>
      <c r="D3203" s="3">
        <v>4106</v>
      </c>
      <c r="E3203" s="4" t="s">
        <v>20</v>
      </c>
      <c r="F3203" s="5">
        <v>1.1100000000000001</v>
      </c>
      <c r="G3203" s="4" t="s">
        <v>21</v>
      </c>
      <c r="H3203" s="6">
        <f t="shared" si="50"/>
        <v>4557.6600000000008</v>
      </c>
    </row>
    <row r="3204" spans="1:8" x14ac:dyDescent="0.2">
      <c r="A3204" s="2" t="s">
        <v>3293</v>
      </c>
      <c r="B3204" s="2" t="s">
        <v>3245</v>
      </c>
      <c r="C3204" s="2" t="s">
        <v>42</v>
      </c>
      <c r="D3204" s="3">
        <v>436</v>
      </c>
      <c r="E3204" s="4" t="s">
        <v>24</v>
      </c>
      <c r="F3204" s="5">
        <v>5.53</v>
      </c>
      <c r="G3204" s="4" t="s">
        <v>25</v>
      </c>
      <c r="H3204" s="6">
        <f t="shared" si="50"/>
        <v>2411.08</v>
      </c>
    </row>
    <row r="3205" spans="1:8" x14ac:dyDescent="0.2">
      <c r="A3205" s="2" t="s">
        <v>3294</v>
      </c>
      <c r="B3205" s="2" t="s">
        <v>3245</v>
      </c>
      <c r="C3205" s="2" t="s">
        <v>57</v>
      </c>
      <c r="D3205" s="3">
        <v>3529</v>
      </c>
      <c r="E3205" s="4" t="s">
        <v>20</v>
      </c>
      <c r="F3205" s="5">
        <v>0.99</v>
      </c>
      <c r="G3205" s="4" t="s">
        <v>21</v>
      </c>
      <c r="H3205" s="6">
        <f t="shared" si="50"/>
        <v>3493.71</v>
      </c>
    </row>
    <row r="3206" spans="1:8" x14ac:dyDescent="0.2">
      <c r="A3206" s="2" t="s">
        <v>3295</v>
      </c>
      <c r="B3206" s="2" t="s">
        <v>3245</v>
      </c>
      <c r="C3206" s="2" t="s">
        <v>33</v>
      </c>
      <c r="D3206" s="3">
        <v>3568</v>
      </c>
      <c r="E3206" s="4" t="s">
        <v>34</v>
      </c>
      <c r="F3206" s="5">
        <v>4.7</v>
      </c>
      <c r="G3206" s="4" t="s">
        <v>35</v>
      </c>
      <c r="H3206" s="6">
        <f t="shared" si="50"/>
        <v>16769.600000000002</v>
      </c>
    </row>
    <row r="3207" spans="1:8" x14ac:dyDescent="0.2">
      <c r="A3207" s="2" t="s">
        <v>3296</v>
      </c>
      <c r="B3207" s="2" t="s">
        <v>3245</v>
      </c>
      <c r="C3207" s="2" t="s">
        <v>71</v>
      </c>
      <c r="D3207" s="3">
        <v>3990</v>
      </c>
      <c r="E3207" s="4" t="s">
        <v>72</v>
      </c>
      <c r="F3207" s="5">
        <v>2449.5700000000002</v>
      </c>
      <c r="G3207" s="4" t="s">
        <v>73</v>
      </c>
      <c r="H3207" s="6">
        <f t="shared" si="50"/>
        <v>9773784.3000000007</v>
      </c>
    </row>
    <row r="3208" spans="1:8" x14ac:dyDescent="0.2">
      <c r="A3208" s="2" t="s">
        <v>3297</v>
      </c>
      <c r="B3208" s="2" t="s">
        <v>3245</v>
      </c>
      <c r="C3208" s="2" t="s">
        <v>52</v>
      </c>
      <c r="D3208" s="3">
        <v>2039</v>
      </c>
      <c r="E3208" s="4" t="s">
        <v>53</v>
      </c>
      <c r="F3208" s="5">
        <v>12.09</v>
      </c>
      <c r="G3208" s="4" t="s">
        <v>54</v>
      </c>
      <c r="H3208" s="6">
        <f t="shared" si="50"/>
        <v>24651.51</v>
      </c>
    </row>
    <row r="3209" spans="1:8" x14ac:dyDescent="0.2">
      <c r="A3209" s="2" t="s">
        <v>3298</v>
      </c>
      <c r="B3209" s="2" t="s">
        <v>3245</v>
      </c>
      <c r="C3209" s="2" t="s">
        <v>78</v>
      </c>
      <c r="D3209" s="3">
        <v>1540</v>
      </c>
      <c r="E3209" s="4" t="s">
        <v>38</v>
      </c>
      <c r="F3209" s="5">
        <v>1.92</v>
      </c>
      <c r="G3209" s="4" t="s">
        <v>39</v>
      </c>
      <c r="H3209" s="6">
        <f t="shared" si="50"/>
        <v>2956.7999999999997</v>
      </c>
    </row>
    <row r="3210" spans="1:8" x14ac:dyDescent="0.2">
      <c r="A3210" s="2" t="s">
        <v>3299</v>
      </c>
      <c r="B3210" s="2" t="s">
        <v>3245</v>
      </c>
      <c r="C3210" s="2" t="s">
        <v>50</v>
      </c>
      <c r="D3210" s="3">
        <v>2168</v>
      </c>
      <c r="E3210" s="4" t="s">
        <v>20</v>
      </c>
      <c r="F3210" s="5">
        <v>1.3</v>
      </c>
      <c r="G3210" s="4" t="s">
        <v>21</v>
      </c>
      <c r="H3210" s="6">
        <f t="shared" si="50"/>
        <v>2818.4</v>
      </c>
    </row>
    <row r="3211" spans="1:8" x14ac:dyDescent="0.2">
      <c r="A3211" s="2" t="s">
        <v>3300</v>
      </c>
      <c r="B3211" s="2" t="s">
        <v>3245</v>
      </c>
      <c r="C3211" s="2" t="s">
        <v>42</v>
      </c>
      <c r="D3211" s="3">
        <v>3525</v>
      </c>
      <c r="E3211" s="4" t="s">
        <v>24</v>
      </c>
      <c r="F3211" s="5">
        <v>4.0999999999999996</v>
      </c>
      <c r="G3211" s="4" t="s">
        <v>25</v>
      </c>
      <c r="H3211" s="6">
        <f t="shared" si="50"/>
        <v>14452.499999999998</v>
      </c>
    </row>
    <row r="3212" spans="1:8" x14ac:dyDescent="0.2">
      <c r="A3212" s="2" t="s">
        <v>3301</v>
      </c>
      <c r="B3212" s="2" t="s">
        <v>3245</v>
      </c>
      <c r="C3212" s="2" t="s">
        <v>50</v>
      </c>
      <c r="D3212" s="3">
        <v>4125</v>
      </c>
      <c r="E3212" s="4" t="s">
        <v>20</v>
      </c>
      <c r="F3212" s="5">
        <v>1.07</v>
      </c>
      <c r="G3212" s="4" t="s">
        <v>21</v>
      </c>
      <c r="H3212" s="6">
        <f t="shared" si="50"/>
        <v>4413.75</v>
      </c>
    </row>
    <row r="3213" spans="1:8" x14ac:dyDescent="0.2">
      <c r="A3213" s="2" t="s">
        <v>3302</v>
      </c>
      <c r="B3213" s="2" t="s">
        <v>3245</v>
      </c>
      <c r="C3213" s="2" t="s">
        <v>44</v>
      </c>
      <c r="D3213" s="3">
        <v>4853</v>
      </c>
      <c r="E3213" s="4" t="s">
        <v>24</v>
      </c>
      <c r="F3213" s="5">
        <v>1.34</v>
      </c>
      <c r="G3213" s="4" t="s">
        <v>25</v>
      </c>
      <c r="H3213" s="6">
        <f t="shared" si="50"/>
        <v>6503.02</v>
      </c>
    </row>
    <row r="3214" spans="1:8" x14ac:dyDescent="0.2">
      <c r="A3214" s="2" t="s">
        <v>3303</v>
      </c>
      <c r="B3214" s="2" t="s">
        <v>3245</v>
      </c>
      <c r="C3214" s="2" t="s">
        <v>89</v>
      </c>
      <c r="D3214" s="3">
        <v>1889</v>
      </c>
      <c r="E3214" s="4" t="s">
        <v>30</v>
      </c>
      <c r="F3214" s="5">
        <v>1.94</v>
      </c>
      <c r="G3214" s="4" t="s">
        <v>31</v>
      </c>
      <c r="H3214" s="6">
        <f t="shared" si="50"/>
        <v>3664.66</v>
      </c>
    </row>
    <row r="3215" spans="1:8" x14ac:dyDescent="0.2">
      <c r="A3215" s="2" t="s">
        <v>3304</v>
      </c>
      <c r="B3215" s="2" t="s">
        <v>3245</v>
      </c>
      <c r="C3215" s="2" t="s">
        <v>67</v>
      </c>
      <c r="D3215" s="3">
        <v>324</v>
      </c>
      <c r="E3215" s="4" t="s">
        <v>24</v>
      </c>
      <c r="F3215" s="5">
        <v>0.38</v>
      </c>
      <c r="G3215" s="4" t="s">
        <v>25</v>
      </c>
      <c r="H3215" s="6">
        <f t="shared" si="50"/>
        <v>123.12</v>
      </c>
    </row>
    <row r="3216" spans="1:8" x14ac:dyDescent="0.2">
      <c r="A3216" s="2" t="s">
        <v>3305</v>
      </c>
      <c r="B3216" s="2" t="s">
        <v>3245</v>
      </c>
      <c r="C3216" s="2" t="s">
        <v>44</v>
      </c>
      <c r="D3216" s="3">
        <v>1207</v>
      </c>
      <c r="E3216" s="4" t="s">
        <v>24</v>
      </c>
      <c r="F3216" s="5">
        <v>1.2</v>
      </c>
      <c r="G3216" s="4" t="s">
        <v>25</v>
      </c>
      <c r="H3216" s="6">
        <f t="shared" si="50"/>
        <v>1448.3999999999999</v>
      </c>
    </row>
    <row r="3217" spans="1:8" x14ac:dyDescent="0.2">
      <c r="A3217" s="2" t="s">
        <v>3306</v>
      </c>
      <c r="B3217" s="2" t="s">
        <v>3245</v>
      </c>
      <c r="C3217" s="2" t="s">
        <v>147</v>
      </c>
      <c r="D3217" s="3">
        <v>1645</v>
      </c>
      <c r="E3217" s="4" t="s">
        <v>53</v>
      </c>
      <c r="F3217" s="5">
        <v>8.73</v>
      </c>
      <c r="G3217" s="4" t="s">
        <v>54</v>
      </c>
      <c r="H3217" s="6">
        <f t="shared" si="50"/>
        <v>14360.85</v>
      </c>
    </row>
    <row r="3218" spans="1:8" x14ac:dyDescent="0.2">
      <c r="A3218" s="2" t="s">
        <v>3307</v>
      </c>
      <c r="B3218" s="2" t="s">
        <v>3245</v>
      </c>
      <c r="C3218" s="2" t="s">
        <v>37</v>
      </c>
      <c r="D3218" s="3">
        <v>3125</v>
      </c>
      <c r="E3218" s="4" t="s">
        <v>38</v>
      </c>
      <c r="F3218" s="5">
        <v>3.22</v>
      </c>
      <c r="G3218" s="4" t="s">
        <v>39</v>
      </c>
      <c r="H3218" s="6">
        <f t="shared" si="50"/>
        <v>10062.5</v>
      </c>
    </row>
    <row r="3219" spans="1:8" x14ac:dyDescent="0.2">
      <c r="A3219" s="2" t="s">
        <v>3308</v>
      </c>
      <c r="B3219" s="2" t="s">
        <v>3245</v>
      </c>
      <c r="C3219" s="2" t="s">
        <v>71</v>
      </c>
      <c r="D3219" s="3">
        <v>1905</v>
      </c>
      <c r="E3219" s="4" t="s">
        <v>72</v>
      </c>
      <c r="F3219" s="5">
        <v>2533.0700000000002</v>
      </c>
      <c r="G3219" s="4" t="s">
        <v>73</v>
      </c>
      <c r="H3219" s="6">
        <f t="shared" si="50"/>
        <v>4825498.3500000006</v>
      </c>
    </row>
    <row r="3220" spans="1:8" x14ac:dyDescent="0.2">
      <c r="A3220" s="2" t="s">
        <v>3309</v>
      </c>
      <c r="B3220" s="2" t="s">
        <v>3245</v>
      </c>
      <c r="C3220" s="2" t="s">
        <v>52</v>
      </c>
      <c r="D3220" s="3">
        <v>3935</v>
      </c>
      <c r="E3220" s="4" t="s">
        <v>53</v>
      </c>
      <c r="F3220" s="5">
        <v>9.31</v>
      </c>
      <c r="G3220" s="4" t="s">
        <v>54</v>
      </c>
      <c r="H3220" s="6">
        <f t="shared" si="50"/>
        <v>36634.85</v>
      </c>
    </row>
    <row r="3221" spans="1:8" x14ac:dyDescent="0.2">
      <c r="A3221" s="2" t="s">
        <v>3310</v>
      </c>
      <c r="B3221" s="2" t="s">
        <v>3245</v>
      </c>
      <c r="C3221" s="2" t="s">
        <v>52</v>
      </c>
      <c r="D3221" s="3">
        <v>433</v>
      </c>
      <c r="E3221" s="4" t="s">
        <v>53</v>
      </c>
      <c r="F3221" s="5">
        <v>10.52</v>
      </c>
      <c r="G3221" s="4" t="s">
        <v>54</v>
      </c>
      <c r="H3221" s="6">
        <f t="shared" si="50"/>
        <v>4555.16</v>
      </c>
    </row>
    <row r="3222" spans="1:8" x14ac:dyDescent="0.2">
      <c r="A3222" s="2" t="s">
        <v>3311</v>
      </c>
      <c r="B3222" s="2" t="s">
        <v>3245</v>
      </c>
      <c r="C3222" s="2" t="s">
        <v>86</v>
      </c>
      <c r="D3222" s="3">
        <v>2988</v>
      </c>
      <c r="E3222" s="4" t="s">
        <v>72</v>
      </c>
      <c r="F3222" s="5">
        <v>8192.7800000000007</v>
      </c>
      <c r="G3222" s="4" t="s">
        <v>73</v>
      </c>
      <c r="H3222" s="6">
        <f t="shared" si="50"/>
        <v>24480026.640000001</v>
      </c>
    </row>
    <row r="3223" spans="1:8" x14ac:dyDescent="0.2">
      <c r="A3223" s="2" t="s">
        <v>3312</v>
      </c>
      <c r="B3223" s="2" t="s">
        <v>3245</v>
      </c>
      <c r="C3223" s="2" t="s">
        <v>19</v>
      </c>
      <c r="D3223" s="3">
        <v>3434</v>
      </c>
      <c r="E3223" s="4" t="s">
        <v>20</v>
      </c>
      <c r="F3223" s="5">
        <v>1.25</v>
      </c>
      <c r="G3223" s="4" t="s">
        <v>21</v>
      </c>
      <c r="H3223" s="6">
        <f t="shared" si="50"/>
        <v>4292.5</v>
      </c>
    </row>
    <row r="3224" spans="1:8" x14ac:dyDescent="0.2">
      <c r="A3224" s="2" t="s">
        <v>3313</v>
      </c>
      <c r="B3224" s="2" t="s">
        <v>3245</v>
      </c>
      <c r="C3224" s="2" t="s">
        <v>37</v>
      </c>
      <c r="D3224" s="3">
        <v>1498</v>
      </c>
      <c r="E3224" s="4" t="s">
        <v>38</v>
      </c>
      <c r="F3224" s="5">
        <v>2.12</v>
      </c>
      <c r="G3224" s="4" t="s">
        <v>39</v>
      </c>
      <c r="H3224" s="6">
        <f t="shared" si="50"/>
        <v>3175.76</v>
      </c>
    </row>
    <row r="3225" spans="1:8" x14ac:dyDescent="0.2">
      <c r="A3225" s="2" t="s">
        <v>3314</v>
      </c>
      <c r="B3225" s="2" t="s">
        <v>3245</v>
      </c>
      <c r="C3225" s="2" t="s">
        <v>37</v>
      </c>
      <c r="D3225" s="3">
        <v>2644</v>
      </c>
      <c r="E3225" s="4" t="s">
        <v>38</v>
      </c>
      <c r="F3225" s="5">
        <v>2.64</v>
      </c>
      <c r="G3225" s="4" t="s">
        <v>39</v>
      </c>
      <c r="H3225" s="6">
        <f t="shared" si="50"/>
        <v>6980.1600000000008</v>
      </c>
    </row>
    <row r="3226" spans="1:8" x14ac:dyDescent="0.2">
      <c r="A3226" s="2" t="s">
        <v>3315</v>
      </c>
      <c r="B3226" s="2" t="s">
        <v>3245</v>
      </c>
      <c r="C3226" s="2" t="s">
        <v>48</v>
      </c>
      <c r="D3226" s="3">
        <v>2305</v>
      </c>
      <c r="E3226" s="4" t="s">
        <v>24</v>
      </c>
      <c r="F3226" s="5">
        <v>0.19</v>
      </c>
      <c r="G3226" s="4" t="s">
        <v>25</v>
      </c>
      <c r="H3226" s="6">
        <f t="shared" si="50"/>
        <v>437.95</v>
      </c>
    </row>
    <row r="3227" spans="1:8" x14ac:dyDescent="0.2">
      <c r="A3227" s="2" t="s">
        <v>3316</v>
      </c>
      <c r="B3227" s="2" t="s">
        <v>3245</v>
      </c>
      <c r="C3227" s="2" t="s">
        <v>50</v>
      </c>
      <c r="D3227" s="3">
        <v>3539</v>
      </c>
      <c r="E3227" s="4" t="s">
        <v>20</v>
      </c>
      <c r="F3227" s="5">
        <v>0.81</v>
      </c>
      <c r="G3227" s="4" t="s">
        <v>21</v>
      </c>
      <c r="H3227" s="6">
        <f t="shared" si="50"/>
        <v>2866.59</v>
      </c>
    </row>
    <row r="3228" spans="1:8" x14ac:dyDescent="0.2">
      <c r="A3228" s="2" t="s">
        <v>3317</v>
      </c>
      <c r="B3228" s="2" t="s">
        <v>3245</v>
      </c>
      <c r="C3228" s="2" t="s">
        <v>48</v>
      </c>
      <c r="D3228" s="3">
        <v>2988</v>
      </c>
      <c r="E3228" s="4" t="s">
        <v>24</v>
      </c>
      <c r="F3228" s="5">
        <v>0.1</v>
      </c>
      <c r="G3228" s="4" t="s">
        <v>25</v>
      </c>
      <c r="H3228" s="6">
        <f t="shared" si="50"/>
        <v>298.8</v>
      </c>
    </row>
    <row r="3229" spans="1:8" x14ac:dyDescent="0.2">
      <c r="A3229" s="2" t="s">
        <v>3318</v>
      </c>
      <c r="B3229" s="2" t="s">
        <v>3245</v>
      </c>
      <c r="C3229" s="2" t="s">
        <v>50</v>
      </c>
      <c r="D3229" s="3">
        <v>803</v>
      </c>
      <c r="E3229" s="4" t="s">
        <v>20</v>
      </c>
      <c r="F3229" s="5">
        <v>1.1000000000000001</v>
      </c>
      <c r="G3229" s="4" t="s">
        <v>21</v>
      </c>
      <c r="H3229" s="6">
        <f t="shared" si="50"/>
        <v>883.30000000000007</v>
      </c>
    </row>
    <row r="3230" spans="1:8" x14ac:dyDescent="0.2">
      <c r="A3230" s="2" t="s">
        <v>3319</v>
      </c>
      <c r="B3230" s="2" t="s">
        <v>3245</v>
      </c>
      <c r="C3230" s="2" t="s">
        <v>29</v>
      </c>
      <c r="D3230" s="3">
        <v>1077</v>
      </c>
      <c r="E3230" s="4" t="s">
        <v>30</v>
      </c>
      <c r="F3230" s="5">
        <v>1.4</v>
      </c>
      <c r="G3230" s="4" t="s">
        <v>31</v>
      </c>
      <c r="H3230" s="6">
        <f t="shared" si="50"/>
        <v>1507.8</v>
      </c>
    </row>
    <row r="3231" spans="1:8" x14ac:dyDescent="0.2">
      <c r="A3231" s="2" t="s">
        <v>3320</v>
      </c>
      <c r="B3231" s="2" t="s">
        <v>3245</v>
      </c>
      <c r="C3231" s="2" t="s">
        <v>19</v>
      </c>
      <c r="D3231" s="3">
        <v>4834</v>
      </c>
      <c r="E3231" s="4" t="s">
        <v>20</v>
      </c>
      <c r="F3231" s="5">
        <v>1.42</v>
      </c>
      <c r="G3231" s="4" t="s">
        <v>21</v>
      </c>
      <c r="H3231" s="6">
        <f t="shared" si="50"/>
        <v>6864.28</v>
      </c>
    </row>
    <row r="3232" spans="1:8" x14ac:dyDescent="0.2">
      <c r="A3232" s="2" t="s">
        <v>3321</v>
      </c>
      <c r="B3232" s="2" t="s">
        <v>3245</v>
      </c>
      <c r="C3232" s="2" t="s">
        <v>19</v>
      </c>
      <c r="D3232" s="3">
        <v>1961</v>
      </c>
      <c r="E3232" s="4" t="s">
        <v>20</v>
      </c>
      <c r="F3232" s="5">
        <v>1.49</v>
      </c>
      <c r="G3232" s="4" t="s">
        <v>21</v>
      </c>
      <c r="H3232" s="6">
        <f t="shared" si="50"/>
        <v>2921.89</v>
      </c>
    </row>
    <row r="3233" spans="1:8" x14ac:dyDescent="0.2">
      <c r="A3233" s="2" t="s">
        <v>3322</v>
      </c>
      <c r="B3233" s="2" t="s">
        <v>3245</v>
      </c>
      <c r="C3233" s="2" t="s">
        <v>44</v>
      </c>
      <c r="D3233" s="3">
        <v>4796</v>
      </c>
      <c r="E3233" s="4" t="s">
        <v>24</v>
      </c>
      <c r="F3233" s="5">
        <v>1.17</v>
      </c>
      <c r="G3233" s="4" t="s">
        <v>25</v>
      </c>
      <c r="H3233" s="6">
        <f t="shared" si="50"/>
        <v>5611.32</v>
      </c>
    </row>
    <row r="3234" spans="1:8" x14ac:dyDescent="0.2">
      <c r="A3234" s="2" t="s">
        <v>3323</v>
      </c>
      <c r="B3234" s="2" t="s">
        <v>3245</v>
      </c>
      <c r="C3234" s="2" t="s">
        <v>50</v>
      </c>
      <c r="D3234" s="3">
        <v>1078</v>
      </c>
      <c r="E3234" s="4" t="s">
        <v>20</v>
      </c>
      <c r="F3234" s="5">
        <v>1.08</v>
      </c>
      <c r="G3234" s="4" t="s">
        <v>21</v>
      </c>
      <c r="H3234" s="6">
        <f t="shared" si="50"/>
        <v>1164.24</v>
      </c>
    </row>
    <row r="3235" spans="1:8" x14ac:dyDescent="0.2">
      <c r="A3235" s="2" t="s">
        <v>3324</v>
      </c>
      <c r="B3235" s="2" t="s">
        <v>3245</v>
      </c>
      <c r="C3235" s="2" t="s">
        <v>147</v>
      </c>
      <c r="D3235" s="3">
        <v>995</v>
      </c>
      <c r="E3235" s="4" t="s">
        <v>53</v>
      </c>
      <c r="F3235" s="5">
        <v>8.33</v>
      </c>
      <c r="G3235" s="4" t="s">
        <v>54</v>
      </c>
      <c r="H3235" s="6">
        <f t="shared" si="50"/>
        <v>8288.35</v>
      </c>
    </row>
    <row r="3236" spans="1:8" x14ac:dyDescent="0.2">
      <c r="A3236" s="2" t="s">
        <v>3325</v>
      </c>
      <c r="B3236" s="2" t="s">
        <v>3245</v>
      </c>
      <c r="C3236" s="2" t="s">
        <v>44</v>
      </c>
      <c r="D3236" s="3">
        <v>1590</v>
      </c>
      <c r="E3236" s="4" t="s">
        <v>24</v>
      </c>
      <c r="F3236" s="5">
        <v>1.39</v>
      </c>
      <c r="G3236" s="4" t="s">
        <v>25</v>
      </c>
      <c r="H3236" s="6">
        <f t="shared" si="50"/>
        <v>2210.1</v>
      </c>
    </row>
    <row r="3237" spans="1:8" x14ac:dyDescent="0.2">
      <c r="A3237" s="2" t="s">
        <v>3326</v>
      </c>
      <c r="B3237" s="2" t="s">
        <v>3245</v>
      </c>
      <c r="C3237" s="2" t="s">
        <v>50</v>
      </c>
      <c r="D3237" s="3">
        <v>623</v>
      </c>
      <c r="E3237" s="4" t="s">
        <v>20</v>
      </c>
      <c r="F3237" s="5">
        <v>1.27</v>
      </c>
      <c r="G3237" s="4" t="s">
        <v>21</v>
      </c>
      <c r="H3237" s="6">
        <f t="shared" si="50"/>
        <v>791.21</v>
      </c>
    </row>
    <row r="3238" spans="1:8" x14ac:dyDescent="0.2">
      <c r="A3238" s="2" t="s">
        <v>3327</v>
      </c>
      <c r="B3238" s="2" t="s">
        <v>3245</v>
      </c>
      <c r="C3238" s="2" t="s">
        <v>147</v>
      </c>
      <c r="D3238" s="3">
        <v>2819</v>
      </c>
      <c r="E3238" s="4" t="s">
        <v>53</v>
      </c>
      <c r="F3238" s="5">
        <v>10.41</v>
      </c>
      <c r="G3238" s="4" t="s">
        <v>54</v>
      </c>
      <c r="H3238" s="6">
        <f t="shared" si="50"/>
        <v>29345.79</v>
      </c>
    </row>
    <row r="3239" spans="1:8" x14ac:dyDescent="0.2">
      <c r="A3239" s="2" t="s">
        <v>3328</v>
      </c>
      <c r="B3239" s="2" t="s">
        <v>3245</v>
      </c>
      <c r="C3239" s="2" t="s">
        <v>48</v>
      </c>
      <c r="D3239" s="3">
        <v>1664</v>
      </c>
      <c r="E3239" s="4" t="s">
        <v>24</v>
      </c>
      <c r="F3239" s="5">
        <v>0.13</v>
      </c>
      <c r="G3239" s="4" t="s">
        <v>25</v>
      </c>
      <c r="H3239" s="6">
        <f t="shared" si="50"/>
        <v>216.32</v>
      </c>
    </row>
    <row r="3240" spans="1:8" x14ac:dyDescent="0.2">
      <c r="A3240" s="2" t="s">
        <v>3329</v>
      </c>
      <c r="B3240" s="2" t="s">
        <v>3245</v>
      </c>
      <c r="C3240" s="2" t="s">
        <v>89</v>
      </c>
      <c r="D3240" s="3">
        <v>368</v>
      </c>
      <c r="E3240" s="4" t="s">
        <v>30</v>
      </c>
      <c r="F3240" s="5">
        <v>1.95</v>
      </c>
      <c r="G3240" s="4" t="s">
        <v>31</v>
      </c>
      <c r="H3240" s="6">
        <f t="shared" si="50"/>
        <v>717.6</v>
      </c>
    </row>
    <row r="3241" spans="1:8" x14ac:dyDescent="0.2">
      <c r="A3241" s="2" t="s">
        <v>3330</v>
      </c>
      <c r="B3241" s="2" t="s">
        <v>3245</v>
      </c>
      <c r="C3241" s="2" t="s">
        <v>52</v>
      </c>
      <c r="D3241" s="3">
        <v>4519</v>
      </c>
      <c r="E3241" s="4" t="s">
        <v>53</v>
      </c>
      <c r="F3241" s="5">
        <v>12.56</v>
      </c>
      <c r="G3241" s="4" t="s">
        <v>54</v>
      </c>
      <c r="H3241" s="6">
        <f t="shared" si="50"/>
        <v>56758.64</v>
      </c>
    </row>
    <row r="3242" spans="1:8" x14ac:dyDescent="0.2">
      <c r="A3242" s="2" t="s">
        <v>3331</v>
      </c>
      <c r="B3242" s="2" t="s">
        <v>3245</v>
      </c>
      <c r="C3242" s="2" t="s">
        <v>29</v>
      </c>
      <c r="D3242" s="3">
        <v>2855</v>
      </c>
      <c r="E3242" s="4" t="s">
        <v>30</v>
      </c>
      <c r="F3242" s="5">
        <v>2.0699999999999998</v>
      </c>
      <c r="G3242" s="4" t="s">
        <v>31</v>
      </c>
      <c r="H3242" s="6">
        <f t="shared" si="50"/>
        <v>5909.8499999999995</v>
      </c>
    </row>
    <row r="3243" spans="1:8" x14ac:dyDescent="0.2">
      <c r="A3243" s="2" t="s">
        <v>3332</v>
      </c>
      <c r="B3243" s="2" t="s">
        <v>3333</v>
      </c>
      <c r="C3243" s="2" t="s">
        <v>23</v>
      </c>
      <c r="D3243" s="3">
        <v>971</v>
      </c>
      <c r="E3243" s="4" t="s">
        <v>24</v>
      </c>
      <c r="F3243" s="5">
        <v>17.47</v>
      </c>
      <c r="G3243" s="4" t="s">
        <v>25</v>
      </c>
      <c r="H3243" s="6">
        <f t="shared" si="50"/>
        <v>16963.37</v>
      </c>
    </row>
    <row r="3244" spans="1:8" x14ac:dyDescent="0.2">
      <c r="A3244" s="2" t="s">
        <v>3334</v>
      </c>
      <c r="B3244" s="2" t="s">
        <v>3333</v>
      </c>
      <c r="C3244" s="2" t="s">
        <v>27</v>
      </c>
      <c r="D3244" s="3">
        <v>3965</v>
      </c>
      <c r="E3244" s="4" t="s">
        <v>20</v>
      </c>
      <c r="F3244" s="5">
        <v>1.7</v>
      </c>
      <c r="G3244" s="4" t="s">
        <v>21</v>
      </c>
      <c r="H3244" s="6">
        <f t="shared" si="50"/>
        <v>6740.5</v>
      </c>
    </row>
    <row r="3245" spans="1:8" x14ac:dyDescent="0.2">
      <c r="A3245" s="2" t="s">
        <v>3335</v>
      </c>
      <c r="B3245" s="2" t="s">
        <v>3333</v>
      </c>
      <c r="C3245" s="2" t="s">
        <v>78</v>
      </c>
      <c r="D3245" s="3">
        <v>189</v>
      </c>
      <c r="E3245" s="4" t="s">
        <v>38</v>
      </c>
      <c r="F3245" s="5">
        <v>1.78</v>
      </c>
      <c r="G3245" s="4" t="s">
        <v>39</v>
      </c>
      <c r="H3245" s="6">
        <f t="shared" si="50"/>
        <v>336.42</v>
      </c>
    </row>
    <row r="3246" spans="1:8" x14ac:dyDescent="0.2">
      <c r="A3246" s="2" t="s">
        <v>3336</v>
      </c>
      <c r="B3246" s="2" t="s">
        <v>3333</v>
      </c>
      <c r="C3246" s="2" t="s">
        <v>86</v>
      </c>
      <c r="D3246" s="3">
        <v>1066</v>
      </c>
      <c r="E3246" s="4" t="s">
        <v>72</v>
      </c>
      <c r="F3246" s="5">
        <v>8205.52</v>
      </c>
      <c r="G3246" s="4" t="s">
        <v>73</v>
      </c>
      <c r="H3246" s="6">
        <f t="shared" si="50"/>
        <v>8747084.3200000003</v>
      </c>
    </row>
    <row r="3247" spans="1:8" x14ac:dyDescent="0.2">
      <c r="A3247" s="2" t="s">
        <v>3337</v>
      </c>
      <c r="B3247" s="2" t="s">
        <v>3333</v>
      </c>
      <c r="C3247" s="2" t="s">
        <v>46</v>
      </c>
      <c r="D3247" s="3">
        <v>508</v>
      </c>
      <c r="E3247" s="4" t="s">
        <v>20</v>
      </c>
      <c r="F3247" s="5">
        <v>3.59</v>
      </c>
      <c r="G3247" s="4" t="s">
        <v>21</v>
      </c>
      <c r="H3247" s="6">
        <f t="shared" si="50"/>
        <v>1823.72</v>
      </c>
    </row>
    <row r="3248" spans="1:8" x14ac:dyDescent="0.2">
      <c r="A3248" s="2" t="s">
        <v>3338</v>
      </c>
      <c r="B3248" s="2" t="s">
        <v>3333</v>
      </c>
      <c r="C3248" s="2" t="s">
        <v>44</v>
      </c>
      <c r="D3248" s="3">
        <v>3266</v>
      </c>
      <c r="E3248" s="4" t="s">
        <v>24</v>
      </c>
      <c r="F3248" s="5">
        <v>1.25</v>
      </c>
      <c r="G3248" s="4" t="s">
        <v>25</v>
      </c>
      <c r="H3248" s="6">
        <f t="shared" si="50"/>
        <v>4082.5</v>
      </c>
    </row>
    <row r="3249" spans="1:8" x14ac:dyDescent="0.2">
      <c r="A3249" s="2" t="s">
        <v>3339</v>
      </c>
      <c r="B3249" s="2" t="s">
        <v>3333</v>
      </c>
      <c r="C3249" s="2" t="s">
        <v>29</v>
      </c>
      <c r="D3249" s="3">
        <v>4216</v>
      </c>
      <c r="E3249" s="4" t="s">
        <v>30</v>
      </c>
      <c r="F3249" s="5">
        <v>2.17</v>
      </c>
      <c r="G3249" s="4" t="s">
        <v>31</v>
      </c>
      <c r="H3249" s="6">
        <f t="shared" si="50"/>
        <v>9148.7199999999993</v>
      </c>
    </row>
    <row r="3250" spans="1:8" x14ac:dyDescent="0.2">
      <c r="A3250" s="2" t="s">
        <v>3340</v>
      </c>
      <c r="B3250" s="2" t="s">
        <v>3333</v>
      </c>
      <c r="C3250" s="2" t="s">
        <v>118</v>
      </c>
      <c r="D3250" s="3">
        <v>3596</v>
      </c>
      <c r="E3250" s="4" t="s">
        <v>24</v>
      </c>
      <c r="F3250" s="5">
        <v>0.93</v>
      </c>
      <c r="G3250" s="4" t="s">
        <v>25</v>
      </c>
      <c r="H3250" s="6">
        <f t="shared" si="50"/>
        <v>3344.28</v>
      </c>
    </row>
    <row r="3251" spans="1:8" x14ac:dyDescent="0.2">
      <c r="A3251" s="2" t="s">
        <v>3341</v>
      </c>
      <c r="B3251" s="2" t="s">
        <v>3333</v>
      </c>
      <c r="C3251" s="2" t="s">
        <v>67</v>
      </c>
      <c r="D3251" s="3">
        <v>4617</v>
      </c>
      <c r="E3251" s="4" t="s">
        <v>24</v>
      </c>
      <c r="F3251" s="5">
        <v>0.53</v>
      </c>
      <c r="G3251" s="4" t="s">
        <v>25</v>
      </c>
      <c r="H3251" s="6">
        <f t="shared" si="50"/>
        <v>2447.0100000000002</v>
      </c>
    </row>
    <row r="3252" spans="1:8" x14ac:dyDescent="0.2">
      <c r="A3252" s="2" t="s">
        <v>3342</v>
      </c>
      <c r="B3252" s="2" t="s">
        <v>3333</v>
      </c>
      <c r="C3252" s="2" t="s">
        <v>67</v>
      </c>
      <c r="D3252" s="3">
        <v>4984</v>
      </c>
      <c r="E3252" s="4" t="s">
        <v>24</v>
      </c>
      <c r="F3252" s="5">
        <v>0.38</v>
      </c>
      <c r="G3252" s="4" t="s">
        <v>25</v>
      </c>
      <c r="H3252" s="6">
        <f t="shared" si="50"/>
        <v>1893.92</v>
      </c>
    </row>
    <row r="3253" spans="1:8" x14ac:dyDescent="0.2">
      <c r="A3253" s="2" t="s">
        <v>3343</v>
      </c>
      <c r="B3253" s="2" t="s">
        <v>3333</v>
      </c>
      <c r="C3253" s="2" t="s">
        <v>118</v>
      </c>
      <c r="D3253" s="3">
        <v>39</v>
      </c>
      <c r="E3253" s="4" t="s">
        <v>24</v>
      </c>
      <c r="F3253" s="5">
        <v>0.51</v>
      </c>
      <c r="G3253" s="4" t="s">
        <v>25</v>
      </c>
      <c r="H3253" s="6">
        <f t="shared" si="50"/>
        <v>19.89</v>
      </c>
    </row>
    <row r="3254" spans="1:8" x14ac:dyDescent="0.2">
      <c r="A3254" s="2" t="s">
        <v>3344</v>
      </c>
      <c r="B3254" s="2" t="s">
        <v>3333</v>
      </c>
      <c r="C3254" s="2" t="s">
        <v>44</v>
      </c>
      <c r="D3254" s="3">
        <v>4860</v>
      </c>
      <c r="E3254" s="4" t="s">
        <v>24</v>
      </c>
      <c r="F3254" s="5">
        <v>1.39</v>
      </c>
      <c r="G3254" s="4" t="s">
        <v>25</v>
      </c>
      <c r="H3254" s="6">
        <f t="shared" si="50"/>
        <v>6755.4</v>
      </c>
    </row>
    <row r="3255" spans="1:8" x14ac:dyDescent="0.2">
      <c r="A3255" s="2" t="s">
        <v>3345</v>
      </c>
      <c r="B3255" s="2" t="s">
        <v>3333</v>
      </c>
      <c r="C3255" s="2" t="s">
        <v>78</v>
      </c>
      <c r="D3255" s="3">
        <v>3740</v>
      </c>
      <c r="E3255" s="4" t="s">
        <v>38</v>
      </c>
      <c r="F3255" s="5">
        <v>2.36</v>
      </c>
      <c r="G3255" s="4" t="s">
        <v>39</v>
      </c>
      <c r="H3255" s="6">
        <f t="shared" si="50"/>
        <v>8826.4</v>
      </c>
    </row>
    <row r="3256" spans="1:8" x14ac:dyDescent="0.2">
      <c r="A3256" s="2" t="s">
        <v>3346</v>
      </c>
      <c r="B3256" s="2" t="s">
        <v>3333</v>
      </c>
      <c r="C3256" s="2" t="s">
        <v>78</v>
      </c>
      <c r="D3256" s="3">
        <v>2130</v>
      </c>
      <c r="E3256" s="4" t="s">
        <v>38</v>
      </c>
      <c r="F3256" s="5">
        <v>2.02</v>
      </c>
      <c r="G3256" s="4" t="s">
        <v>39</v>
      </c>
      <c r="H3256" s="6">
        <f t="shared" si="50"/>
        <v>4302.6000000000004</v>
      </c>
    </row>
    <row r="3257" spans="1:8" x14ac:dyDescent="0.2">
      <c r="A3257" s="2" t="s">
        <v>3347</v>
      </c>
      <c r="B3257" s="2" t="s">
        <v>3333</v>
      </c>
      <c r="C3257" s="2" t="s">
        <v>42</v>
      </c>
      <c r="D3257" s="3">
        <v>2437</v>
      </c>
      <c r="E3257" s="4" t="s">
        <v>24</v>
      </c>
      <c r="F3257" s="5">
        <v>5.62</v>
      </c>
      <c r="G3257" s="4" t="s">
        <v>25</v>
      </c>
      <c r="H3257" s="6">
        <f t="shared" si="50"/>
        <v>13695.94</v>
      </c>
    </row>
    <row r="3258" spans="1:8" x14ac:dyDescent="0.2">
      <c r="A3258" s="2" t="s">
        <v>3348</v>
      </c>
      <c r="B3258" s="2" t="s">
        <v>3333</v>
      </c>
      <c r="C3258" s="2" t="s">
        <v>29</v>
      </c>
      <c r="D3258" s="3">
        <v>985</v>
      </c>
      <c r="E3258" s="4" t="s">
        <v>30</v>
      </c>
      <c r="F3258" s="5">
        <v>1.21</v>
      </c>
      <c r="G3258" s="4" t="s">
        <v>31</v>
      </c>
      <c r="H3258" s="6">
        <f t="shared" si="50"/>
        <v>1191.8499999999999</v>
      </c>
    </row>
    <row r="3259" spans="1:8" x14ac:dyDescent="0.2">
      <c r="A3259" s="2" t="s">
        <v>3349</v>
      </c>
      <c r="B3259" s="2" t="s">
        <v>3333</v>
      </c>
      <c r="C3259" s="2" t="s">
        <v>37</v>
      </c>
      <c r="D3259" s="3">
        <v>4380</v>
      </c>
      <c r="E3259" s="4" t="s">
        <v>38</v>
      </c>
      <c r="F3259" s="5">
        <v>2.71</v>
      </c>
      <c r="G3259" s="4" t="s">
        <v>39</v>
      </c>
      <c r="H3259" s="6">
        <f t="shared" si="50"/>
        <v>11869.8</v>
      </c>
    </row>
    <row r="3260" spans="1:8" x14ac:dyDescent="0.2">
      <c r="A3260" s="2" t="s">
        <v>3350</v>
      </c>
      <c r="B3260" s="2" t="s">
        <v>3333</v>
      </c>
      <c r="C3260" s="2" t="s">
        <v>37</v>
      </c>
      <c r="D3260" s="3">
        <v>1223</v>
      </c>
      <c r="E3260" s="4" t="s">
        <v>38</v>
      </c>
      <c r="F3260" s="5">
        <v>4.83</v>
      </c>
      <c r="G3260" s="4" t="s">
        <v>39</v>
      </c>
      <c r="H3260" s="6">
        <f t="shared" si="50"/>
        <v>5907.09</v>
      </c>
    </row>
    <row r="3261" spans="1:8" x14ac:dyDescent="0.2">
      <c r="A3261" s="2" t="s">
        <v>3351</v>
      </c>
      <c r="B3261" s="2" t="s">
        <v>3333</v>
      </c>
      <c r="C3261" s="2" t="s">
        <v>86</v>
      </c>
      <c r="D3261" s="3">
        <v>1099</v>
      </c>
      <c r="E3261" s="4" t="s">
        <v>72</v>
      </c>
      <c r="F3261" s="5">
        <v>8178.61</v>
      </c>
      <c r="G3261" s="4" t="s">
        <v>73</v>
      </c>
      <c r="H3261" s="6">
        <f t="shared" si="50"/>
        <v>8988292.3899999987</v>
      </c>
    </row>
    <row r="3262" spans="1:8" x14ac:dyDescent="0.2">
      <c r="A3262" s="2" t="s">
        <v>3352</v>
      </c>
      <c r="B3262" s="2" t="s">
        <v>3333</v>
      </c>
      <c r="C3262" s="2" t="s">
        <v>37</v>
      </c>
      <c r="D3262" s="3">
        <v>2049</v>
      </c>
      <c r="E3262" s="4" t="s">
        <v>38</v>
      </c>
      <c r="F3262" s="5">
        <v>4.97</v>
      </c>
      <c r="G3262" s="4" t="s">
        <v>39</v>
      </c>
      <c r="H3262" s="6">
        <f t="shared" si="50"/>
        <v>10183.529999999999</v>
      </c>
    </row>
    <row r="3263" spans="1:8" x14ac:dyDescent="0.2">
      <c r="A3263" s="2" t="s">
        <v>3353</v>
      </c>
      <c r="B3263" s="2" t="s">
        <v>3333</v>
      </c>
      <c r="C3263" s="2" t="s">
        <v>44</v>
      </c>
      <c r="D3263" s="3">
        <v>4389</v>
      </c>
      <c r="E3263" s="4" t="s">
        <v>24</v>
      </c>
      <c r="F3263" s="5">
        <v>0.98</v>
      </c>
      <c r="G3263" s="4" t="s">
        <v>25</v>
      </c>
      <c r="H3263" s="6">
        <f t="shared" si="50"/>
        <v>4301.22</v>
      </c>
    </row>
    <row r="3264" spans="1:8" x14ac:dyDescent="0.2">
      <c r="A3264" s="2" t="s">
        <v>3354</v>
      </c>
      <c r="B3264" s="2" t="s">
        <v>3333</v>
      </c>
      <c r="C3264" s="2" t="s">
        <v>19</v>
      </c>
      <c r="D3264" s="3">
        <v>4967</v>
      </c>
      <c r="E3264" s="4" t="s">
        <v>20</v>
      </c>
      <c r="F3264" s="5">
        <v>1.68</v>
      </c>
      <c r="G3264" s="4" t="s">
        <v>21</v>
      </c>
      <c r="H3264" s="6">
        <f t="shared" si="50"/>
        <v>8344.56</v>
      </c>
    </row>
    <row r="3265" spans="1:8" x14ac:dyDescent="0.2">
      <c r="A3265" s="2" t="s">
        <v>3355</v>
      </c>
      <c r="B3265" s="2" t="s">
        <v>3333</v>
      </c>
      <c r="C3265" s="2" t="s">
        <v>57</v>
      </c>
      <c r="D3265" s="3">
        <v>691</v>
      </c>
      <c r="E3265" s="4" t="s">
        <v>20</v>
      </c>
      <c r="F3265" s="5">
        <v>0.98</v>
      </c>
      <c r="G3265" s="4" t="s">
        <v>21</v>
      </c>
      <c r="H3265" s="6">
        <f t="shared" si="50"/>
        <v>677.18</v>
      </c>
    </row>
    <row r="3266" spans="1:8" x14ac:dyDescent="0.2">
      <c r="A3266" s="2" t="s">
        <v>3356</v>
      </c>
      <c r="B3266" s="2" t="s">
        <v>3333</v>
      </c>
      <c r="C3266" s="2" t="s">
        <v>29</v>
      </c>
      <c r="D3266" s="3">
        <v>2173</v>
      </c>
      <c r="E3266" s="4" t="s">
        <v>30</v>
      </c>
      <c r="F3266" s="5">
        <v>1.87</v>
      </c>
      <c r="G3266" s="4" t="s">
        <v>31</v>
      </c>
      <c r="H3266" s="6">
        <f t="shared" ref="H3266:H3329" si="51">D3266*F3266</f>
        <v>4063.51</v>
      </c>
    </row>
    <row r="3267" spans="1:8" x14ac:dyDescent="0.2">
      <c r="A3267" s="2" t="s">
        <v>3357</v>
      </c>
      <c r="B3267" s="2" t="s">
        <v>3333</v>
      </c>
      <c r="C3267" s="2" t="s">
        <v>52</v>
      </c>
      <c r="D3267" s="3">
        <v>2425</v>
      </c>
      <c r="E3267" s="4" t="s">
        <v>53</v>
      </c>
      <c r="F3267" s="5">
        <v>10.62</v>
      </c>
      <c r="G3267" s="4" t="s">
        <v>54</v>
      </c>
      <c r="H3267" s="6">
        <f t="shared" si="51"/>
        <v>25753.499999999996</v>
      </c>
    </row>
    <row r="3268" spans="1:8" x14ac:dyDescent="0.2">
      <c r="A3268" s="2" t="s">
        <v>3358</v>
      </c>
      <c r="B3268" s="2" t="s">
        <v>3333</v>
      </c>
      <c r="C3268" s="2" t="s">
        <v>37</v>
      </c>
      <c r="D3268" s="3">
        <v>95</v>
      </c>
      <c r="E3268" s="4" t="s">
        <v>38</v>
      </c>
      <c r="F3268" s="5">
        <v>4.47</v>
      </c>
      <c r="G3268" s="4" t="s">
        <v>39</v>
      </c>
      <c r="H3268" s="6">
        <f t="shared" si="51"/>
        <v>424.65</v>
      </c>
    </row>
    <row r="3269" spans="1:8" x14ac:dyDescent="0.2">
      <c r="A3269" s="2" t="s">
        <v>3359</v>
      </c>
      <c r="B3269" s="2" t="s">
        <v>3333</v>
      </c>
      <c r="C3269" s="2" t="s">
        <v>42</v>
      </c>
      <c r="D3269" s="3">
        <v>2301</v>
      </c>
      <c r="E3269" s="4" t="s">
        <v>24</v>
      </c>
      <c r="F3269" s="5">
        <v>4.03</v>
      </c>
      <c r="G3269" s="4" t="s">
        <v>25</v>
      </c>
      <c r="H3269" s="6">
        <f t="shared" si="51"/>
        <v>9273.0300000000007</v>
      </c>
    </row>
    <row r="3270" spans="1:8" x14ac:dyDescent="0.2">
      <c r="A3270" s="2" t="s">
        <v>3360</v>
      </c>
      <c r="B3270" s="2" t="s">
        <v>3333</v>
      </c>
      <c r="C3270" s="2" t="s">
        <v>33</v>
      </c>
      <c r="D3270" s="3">
        <v>4412</v>
      </c>
      <c r="E3270" s="4" t="s">
        <v>34</v>
      </c>
      <c r="F3270" s="5">
        <v>5.14</v>
      </c>
      <c r="G3270" s="4" t="s">
        <v>35</v>
      </c>
      <c r="H3270" s="6">
        <f t="shared" si="51"/>
        <v>22677.68</v>
      </c>
    </row>
    <row r="3271" spans="1:8" x14ac:dyDescent="0.2">
      <c r="A3271" s="2" t="s">
        <v>3361</v>
      </c>
      <c r="B3271" s="2" t="s">
        <v>3333</v>
      </c>
      <c r="C3271" s="2" t="s">
        <v>46</v>
      </c>
      <c r="D3271" s="3">
        <v>881</v>
      </c>
      <c r="E3271" s="4" t="s">
        <v>20</v>
      </c>
      <c r="F3271" s="5">
        <v>3.45</v>
      </c>
      <c r="G3271" s="4" t="s">
        <v>21</v>
      </c>
      <c r="H3271" s="6">
        <f t="shared" si="51"/>
        <v>3039.4500000000003</v>
      </c>
    </row>
    <row r="3272" spans="1:8" x14ac:dyDescent="0.2">
      <c r="A3272" s="2" t="s">
        <v>3362</v>
      </c>
      <c r="B3272" s="2" t="s">
        <v>3333</v>
      </c>
      <c r="C3272" s="2" t="s">
        <v>67</v>
      </c>
      <c r="D3272" s="3">
        <v>2118</v>
      </c>
      <c r="E3272" s="4" t="s">
        <v>24</v>
      </c>
      <c r="F3272" s="5">
        <v>0.56000000000000005</v>
      </c>
      <c r="G3272" s="4" t="s">
        <v>25</v>
      </c>
      <c r="H3272" s="6">
        <f t="shared" si="51"/>
        <v>1186.0800000000002</v>
      </c>
    </row>
    <row r="3273" spans="1:8" x14ac:dyDescent="0.2">
      <c r="A3273" s="2" t="s">
        <v>3363</v>
      </c>
      <c r="B3273" s="2" t="s">
        <v>3333</v>
      </c>
      <c r="C3273" s="2" t="s">
        <v>147</v>
      </c>
      <c r="D3273" s="3">
        <v>4522</v>
      </c>
      <c r="E3273" s="4" t="s">
        <v>53</v>
      </c>
      <c r="F3273" s="5">
        <v>9.65</v>
      </c>
      <c r="G3273" s="4" t="s">
        <v>54</v>
      </c>
      <c r="H3273" s="6">
        <f t="shared" si="51"/>
        <v>43637.3</v>
      </c>
    </row>
    <row r="3274" spans="1:8" x14ac:dyDescent="0.2">
      <c r="A3274" s="2" t="s">
        <v>3364</v>
      </c>
      <c r="B3274" s="2" t="s">
        <v>3333</v>
      </c>
      <c r="C3274" s="2" t="s">
        <v>23</v>
      </c>
      <c r="D3274" s="3">
        <v>1817</v>
      </c>
      <c r="E3274" s="4" t="s">
        <v>24</v>
      </c>
      <c r="F3274" s="5">
        <v>13.95</v>
      </c>
      <c r="G3274" s="4" t="s">
        <v>25</v>
      </c>
      <c r="H3274" s="6">
        <f t="shared" si="51"/>
        <v>25347.149999999998</v>
      </c>
    </row>
    <row r="3275" spans="1:8" x14ac:dyDescent="0.2">
      <c r="A3275" s="2" t="s">
        <v>3365</v>
      </c>
      <c r="B3275" s="2" t="s">
        <v>3333</v>
      </c>
      <c r="C3275" s="2" t="s">
        <v>44</v>
      </c>
      <c r="D3275" s="3">
        <v>4774</v>
      </c>
      <c r="E3275" s="4" t="s">
        <v>24</v>
      </c>
      <c r="F3275" s="5">
        <v>1.34</v>
      </c>
      <c r="G3275" s="4" t="s">
        <v>25</v>
      </c>
      <c r="H3275" s="6">
        <f t="shared" si="51"/>
        <v>6397.1600000000008</v>
      </c>
    </row>
    <row r="3276" spans="1:8" x14ac:dyDescent="0.2">
      <c r="A3276" s="2" t="s">
        <v>3366</v>
      </c>
      <c r="B3276" s="2" t="s">
        <v>3333</v>
      </c>
      <c r="C3276" s="2" t="s">
        <v>67</v>
      </c>
      <c r="D3276" s="3">
        <v>1285</v>
      </c>
      <c r="E3276" s="4" t="s">
        <v>24</v>
      </c>
      <c r="F3276" s="5">
        <v>0.43</v>
      </c>
      <c r="G3276" s="4" t="s">
        <v>25</v>
      </c>
      <c r="H3276" s="6">
        <f t="shared" si="51"/>
        <v>552.54999999999995</v>
      </c>
    </row>
    <row r="3277" spans="1:8" x14ac:dyDescent="0.2">
      <c r="A3277" s="2" t="s">
        <v>3367</v>
      </c>
      <c r="B3277" s="2" t="s">
        <v>3333</v>
      </c>
      <c r="C3277" s="2" t="s">
        <v>52</v>
      </c>
      <c r="D3277" s="3">
        <v>3029</v>
      </c>
      <c r="E3277" s="4" t="s">
        <v>53</v>
      </c>
      <c r="F3277" s="5">
        <v>9.74</v>
      </c>
      <c r="G3277" s="4" t="s">
        <v>54</v>
      </c>
      <c r="H3277" s="6">
        <f t="shared" si="51"/>
        <v>29502.46</v>
      </c>
    </row>
    <row r="3278" spans="1:8" x14ac:dyDescent="0.2">
      <c r="A3278" s="2" t="s">
        <v>3368</v>
      </c>
      <c r="B3278" s="2" t="s">
        <v>3333</v>
      </c>
      <c r="C3278" s="2" t="s">
        <v>48</v>
      </c>
      <c r="D3278" s="3">
        <v>777</v>
      </c>
      <c r="E3278" s="4" t="s">
        <v>24</v>
      </c>
      <c r="F3278" s="5">
        <v>0.12</v>
      </c>
      <c r="G3278" s="4" t="s">
        <v>25</v>
      </c>
      <c r="H3278" s="6">
        <f t="shared" si="51"/>
        <v>93.24</v>
      </c>
    </row>
    <row r="3279" spans="1:8" x14ac:dyDescent="0.2">
      <c r="A3279" s="2" t="s">
        <v>3369</v>
      </c>
      <c r="B3279" s="2" t="s">
        <v>3333</v>
      </c>
      <c r="C3279" s="2" t="s">
        <v>23</v>
      </c>
      <c r="D3279" s="3">
        <v>1525</v>
      </c>
      <c r="E3279" s="4" t="s">
        <v>24</v>
      </c>
      <c r="F3279" s="5">
        <v>16.89</v>
      </c>
      <c r="G3279" s="4" t="s">
        <v>25</v>
      </c>
      <c r="H3279" s="6">
        <f t="shared" si="51"/>
        <v>25757.25</v>
      </c>
    </row>
    <row r="3280" spans="1:8" x14ac:dyDescent="0.2">
      <c r="A3280" s="2" t="s">
        <v>3370</v>
      </c>
      <c r="B3280" s="2" t="s">
        <v>3333</v>
      </c>
      <c r="C3280" s="2" t="s">
        <v>118</v>
      </c>
      <c r="D3280" s="3">
        <v>1557</v>
      </c>
      <c r="E3280" s="4" t="s">
        <v>24</v>
      </c>
      <c r="F3280" s="5">
        <v>0.8</v>
      </c>
      <c r="G3280" s="4" t="s">
        <v>25</v>
      </c>
      <c r="H3280" s="6">
        <f t="shared" si="51"/>
        <v>1245.6000000000001</v>
      </c>
    </row>
    <row r="3281" spans="1:8" x14ac:dyDescent="0.2">
      <c r="A3281" s="2" t="s">
        <v>3371</v>
      </c>
      <c r="B3281" s="2" t="s">
        <v>3333</v>
      </c>
      <c r="C3281" s="2" t="s">
        <v>118</v>
      </c>
      <c r="D3281" s="3">
        <v>2320</v>
      </c>
      <c r="E3281" s="4" t="s">
        <v>24</v>
      </c>
      <c r="F3281" s="5">
        <v>0.41</v>
      </c>
      <c r="G3281" s="4" t="s">
        <v>25</v>
      </c>
      <c r="H3281" s="6">
        <f t="shared" si="51"/>
        <v>951.19999999999993</v>
      </c>
    </row>
    <row r="3282" spans="1:8" x14ac:dyDescent="0.2">
      <c r="A3282" s="2" t="s">
        <v>3372</v>
      </c>
      <c r="B3282" s="2" t="s">
        <v>3333</v>
      </c>
      <c r="C3282" s="2" t="s">
        <v>118</v>
      </c>
      <c r="D3282" s="3">
        <v>1465</v>
      </c>
      <c r="E3282" s="4" t="s">
        <v>24</v>
      </c>
      <c r="F3282" s="5">
        <v>0.97</v>
      </c>
      <c r="G3282" s="4" t="s">
        <v>25</v>
      </c>
      <c r="H3282" s="6">
        <f t="shared" si="51"/>
        <v>1421.05</v>
      </c>
    </row>
    <row r="3283" spans="1:8" x14ac:dyDescent="0.2">
      <c r="A3283" s="2" t="s">
        <v>3373</v>
      </c>
      <c r="B3283" s="2" t="s">
        <v>3333</v>
      </c>
      <c r="C3283" s="2" t="s">
        <v>147</v>
      </c>
      <c r="D3283" s="3">
        <v>1548</v>
      </c>
      <c r="E3283" s="4" t="s">
        <v>53</v>
      </c>
      <c r="F3283" s="5">
        <v>8.56</v>
      </c>
      <c r="G3283" s="4" t="s">
        <v>54</v>
      </c>
      <c r="H3283" s="6">
        <f t="shared" si="51"/>
        <v>13250.880000000001</v>
      </c>
    </row>
    <row r="3284" spans="1:8" x14ac:dyDescent="0.2">
      <c r="A3284" s="2" t="s">
        <v>3374</v>
      </c>
      <c r="B3284" s="2" t="s">
        <v>3333</v>
      </c>
      <c r="C3284" s="2" t="s">
        <v>27</v>
      </c>
      <c r="D3284" s="3">
        <v>3503</v>
      </c>
      <c r="E3284" s="4" t="s">
        <v>20</v>
      </c>
      <c r="F3284" s="5">
        <v>1.49</v>
      </c>
      <c r="G3284" s="4" t="s">
        <v>21</v>
      </c>
      <c r="H3284" s="6">
        <f t="shared" si="51"/>
        <v>5219.47</v>
      </c>
    </row>
    <row r="3285" spans="1:8" x14ac:dyDescent="0.2">
      <c r="A3285" s="2" t="s">
        <v>3375</v>
      </c>
      <c r="B3285" s="2" t="s">
        <v>3333</v>
      </c>
      <c r="C3285" s="2" t="s">
        <v>67</v>
      </c>
      <c r="D3285" s="3">
        <v>831</v>
      </c>
      <c r="E3285" s="4" t="s">
        <v>24</v>
      </c>
      <c r="F3285" s="5">
        <v>0.52</v>
      </c>
      <c r="G3285" s="4" t="s">
        <v>25</v>
      </c>
      <c r="H3285" s="6">
        <f t="shared" si="51"/>
        <v>432.12</v>
      </c>
    </row>
    <row r="3286" spans="1:8" x14ac:dyDescent="0.2">
      <c r="A3286" s="2" t="s">
        <v>3376</v>
      </c>
      <c r="B3286" s="2" t="s">
        <v>3333</v>
      </c>
      <c r="C3286" s="2" t="s">
        <v>89</v>
      </c>
      <c r="D3286" s="3">
        <v>106</v>
      </c>
      <c r="E3286" s="4" t="s">
        <v>30</v>
      </c>
      <c r="F3286" s="5">
        <v>2.52</v>
      </c>
      <c r="G3286" s="4" t="s">
        <v>31</v>
      </c>
      <c r="H3286" s="6">
        <f t="shared" si="51"/>
        <v>267.12</v>
      </c>
    </row>
    <row r="3287" spans="1:8" x14ac:dyDescent="0.2">
      <c r="A3287" s="2" t="s">
        <v>3377</v>
      </c>
      <c r="B3287" s="2" t="s">
        <v>3333</v>
      </c>
      <c r="C3287" s="2" t="s">
        <v>67</v>
      </c>
      <c r="D3287" s="3">
        <v>3155</v>
      </c>
      <c r="E3287" s="4" t="s">
        <v>24</v>
      </c>
      <c r="F3287" s="5">
        <v>0.31</v>
      </c>
      <c r="G3287" s="4" t="s">
        <v>25</v>
      </c>
      <c r="H3287" s="6">
        <f t="shared" si="51"/>
        <v>978.05</v>
      </c>
    </row>
    <row r="3288" spans="1:8" x14ac:dyDescent="0.2">
      <c r="A3288" s="2" t="s">
        <v>3378</v>
      </c>
      <c r="B3288" s="2" t="s">
        <v>3333</v>
      </c>
      <c r="C3288" s="2" t="s">
        <v>33</v>
      </c>
      <c r="D3288" s="3">
        <v>368</v>
      </c>
      <c r="E3288" s="4" t="s">
        <v>34</v>
      </c>
      <c r="F3288" s="5">
        <v>3.83</v>
      </c>
      <c r="G3288" s="4" t="s">
        <v>35</v>
      </c>
      <c r="H3288" s="6">
        <f t="shared" si="51"/>
        <v>1409.44</v>
      </c>
    </row>
    <row r="3289" spans="1:8" x14ac:dyDescent="0.2">
      <c r="A3289" s="2" t="s">
        <v>3379</v>
      </c>
      <c r="B3289" s="2" t="s">
        <v>3333</v>
      </c>
      <c r="C3289" s="2" t="s">
        <v>27</v>
      </c>
      <c r="D3289" s="3">
        <v>2202</v>
      </c>
      <c r="E3289" s="4" t="s">
        <v>20</v>
      </c>
      <c r="F3289" s="5">
        <v>1.37</v>
      </c>
      <c r="G3289" s="4" t="s">
        <v>21</v>
      </c>
      <c r="H3289" s="6">
        <f t="shared" si="51"/>
        <v>3016.7400000000002</v>
      </c>
    </row>
    <row r="3290" spans="1:8" x14ac:dyDescent="0.2">
      <c r="A3290" s="2" t="s">
        <v>3380</v>
      </c>
      <c r="B3290" s="2" t="s">
        <v>3333</v>
      </c>
      <c r="C3290" s="2" t="s">
        <v>147</v>
      </c>
      <c r="D3290" s="3">
        <v>120</v>
      </c>
      <c r="E3290" s="4" t="s">
        <v>53</v>
      </c>
      <c r="F3290" s="5">
        <v>14.34</v>
      </c>
      <c r="G3290" s="4" t="s">
        <v>54</v>
      </c>
      <c r="H3290" s="6">
        <f t="shared" si="51"/>
        <v>1720.8</v>
      </c>
    </row>
    <row r="3291" spans="1:8" x14ac:dyDescent="0.2">
      <c r="A3291" s="2" t="s">
        <v>3381</v>
      </c>
      <c r="B3291" s="2" t="s">
        <v>3333</v>
      </c>
      <c r="C3291" s="2" t="s">
        <v>33</v>
      </c>
      <c r="D3291" s="3">
        <v>881</v>
      </c>
      <c r="E3291" s="4" t="s">
        <v>34</v>
      </c>
      <c r="F3291" s="5">
        <v>4.8600000000000003</v>
      </c>
      <c r="G3291" s="4" t="s">
        <v>35</v>
      </c>
      <c r="H3291" s="6">
        <f t="shared" si="51"/>
        <v>4281.66</v>
      </c>
    </row>
    <row r="3292" spans="1:8" x14ac:dyDescent="0.2">
      <c r="A3292" s="2" t="s">
        <v>3382</v>
      </c>
      <c r="B3292" s="2" t="s">
        <v>3333</v>
      </c>
      <c r="C3292" s="2" t="s">
        <v>57</v>
      </c>
      <c r="D3292" s="3">
        <v>706</v>
      </c>
      <c r="E3292" s="4" t="s">
        <v>20</v>
      </c>
      <c r="F3292" s="5">
        <v>0.68</v>
      </c>
      <c r="G3292" s="4" t="s">
        <v>21</v>
      </c>
      <c r="H3292" s="6">
        <f t="shared" si="51"/>
        <v>480.08000000000004</v>
      </c>
    </row>
    <row r="3293" spans="1:8" x14ac:dyDescent="0.2">
      <c r="A3293" s="2" t="s">
        <v>3383</v>
      </c>
      <c r="B3293" s="2" t="s">
        <v>3333</v>
      </c>
      <c r="C3293" s="2" t="s">
        <v>48</v>
      </c>
      <c r="D3293" s="3">
        <v>4620</v>
      </c>
      <c r="E3293" s="4" t="s">
        <v>24</v>
      </c>
      <c r="F3293" s="5">
        <v>0.18</v>
      </c>
      <c r="G3293" s="4" t="s">
        <v>25</v>
      </c>
      <c r="H3293" s="6">
        <f t="shared" si="51"/>
        <v>831.6</v>
      </c>
    </row>
    <row r="3294" spans="1:8" x14ac:dyDescent="0.2">
      <c r="A3294" s="2" t="s">
        <v>3384</v>
      </c>
      <c r="B3294" s="2" t="s">
        <v>3333</v>
      </c>
      <c r="C3294" s="2" t="s">
        <v>118</v>
      </c>
      <c r="D3294" s="3">
        <v>2528</v>
      </c>
      <c r="E3294" s="4" t="s">
        <v>24</v>
      </c>
      <c r="F3294" s="5">
        <v>0.63</v>
      </c>
      <c r="G3294" s="4" t="s">
        <v>25</v>
      </c>
      <c r="H3294" s="6">
        <f t="shared" si="51"/>
        <v>1592.64</v>
      </c>
    </row>
    <row r="3295" spans="1:8" x14ac:dyDescent="0.2">
      <c r="A3295" s="2" t="s">
        <v>3385</v>
      </c>
      <c r="B3295" s="2" t="s">
        <v>3333</v>
      </c>
      <c r="C3295" s="2" t="s">
        <v>89</v>
      </c>
      <c r="D3295" s="3">
        <v>2007</v>
      </c>
      <c r="E3295" s="4" t="s">
        <v>30</v>
      </c>
      <c r="F3295" s="5">
        <v>1.87</v>
      </c>
      <c r="G3295" s="4" t="s">
        <v>31</v>
      </c>
      <c r="H3295" s="6">
        <f t="shared" si="51"/>
        <v>3753.09</v>
      </c>
    </row>
    <row r="3296" spans="1:8" x14ac:dyDescent="0.2">
      <c r="A3296" s="2" t="s">
        <v>3386</v>
      </c>
      <c r="B3296" s="2" t="s">
        <v>3333</v>
      </c>
      <c r="C3296" s="2" t="s">
        <v>86</v>
      </c>
      <c r="D3296" s="3">
        <v>4463</v>
      </c>
      <c r="E3296" s="4" t="s">
        <v>72</v>
      </c>
      <c r="F3296" s="5">
        <v>7972.31</v>
      </c>
      <c r="G3296" s="4" t="s">
        <v>73</v>
      </c>
      <c r="H3296" s="6">
        <f t="shared" si="51"/>
        <v>35580419.530000001</v>
      </c>
    </row>
    <row r="3297" spans="1:8" x14ac:dyDescent="0.2">
      <c r="A3297" s="2" t="s">
        <v>3387</v>
      </c>
      <c r="B3297" s="2" t="s">
        <v>3333</v>
      </c>
      <c r="C3297" s="2" t="s">
        <v>37</v>
      </c>
      <c r="D3297" s="3">
        <v>852</v>
      </c>
      <c r="E3297" s="4" t="s">
        <v>38</v>
      </c>
      <c r="F3297" s="5">
        <v>3.63</v>
      </c>
      <c r="G3297" s="4" t="s">
        <v>39</v>
      </c>
      <c r="H3297" s="6">
        <f t="shared" si="51"/>
        <v>3092.7599999999998</v>
      </c>
    </row>
    <row r="3298" spans="1:8" x14ac:dyDescent="0.2">
      <c r="A3298" s="2" t="s">
        <v>3388</v>
      </c>
      <c r="B3298" s="2" t="s">
        <v>3333</v>
      </c>
      <c r="C3298" s="2" t="s">
        <v>50</v>
      </c>
      <c r="D3298" s="3">
        <v>4200</v>
      </c>
      <c r="E3298" s="4" t="s">
        <v>20</v>
      </c>
      <c r="F3298" s="5">
        <v>1.23</v>
      </c>
      <c r="G3298" s="4" t="s">
        <v>21</v>
      </c>
      <c r="H3298" s="6">
        <f t="shared" si="51"/>
        <v>5166</v>
      </c>
    </row>
    <row r="3299" spans="1:8" x14ac:dyDescent="0.2">
      <c r="A3299" s="2" t="s">
        <v>3389</v>
      </c>
      <c r="B3299" s="2" t="s">
        <v>3333</v>
      </c>
      <c r="C3299" s="2" t="s">
        <v>52</v>
      </c>
      <c r="D3299" s="3">
        <v>1171</v>
      </c>
      <c r="E3299" s="4" t="s">
        <v>53</v>
      </c>
      <c r="F3299" s="5">
        <v>9.01</v>
      </c>
      <c r="G3299" s="4" t="s">
        <v>54</v>
      </c>
      <c r="H3299" s="6">
        <f t="shared" si="51"/>
        <v>10550.71</v>
      </c>
    </row>
    <row r="3300" spans="1:8" x14ac:dyDescent="0.2">
      <c r="A3300" s="2" t="s">
        <v>3390</v>
      </c>
      <c r="B3300" s="2" t="s">
        <v>3333</v>
      </c>
      <c r="C3300" s="2" t="s">
        <v>42</v>
      </c>
      <c r="D3300" s="3">
        <v>206</v>
      </c>
      <c r="E3300" s="4" t="s">
        <v>24</v>
      </c>
      <c r="F3300" s="5">
        <v>4.18</v>
      </c>
      <c r="G3300" s="4" t="s">
        <v>25</v>
      </c>
      <c r="H3300" s="6">
        <f t="shared" si="51"/>
        <v>861.07999999999993</v>
      </c>
    </row>
    <row r="3301" spans="1:8" x14ac:dyDescent="0.2">
      <c r="A3301" s="2" t="s">
        <v>3391</v>
      </c>
      <c r="B3301" s="2" t="s">
        <v>3333</v>
      </c>
      <c r="C3301" s="2" t="s">
        <v>67</v>
      </c>
      <c r="D3301" s="3">
        <v>1217</v>
      </c>
      <c r="E3301" s="4" t="s">
        <v>24</v>
      </c>
      <c r="F3301" s="5">
        <v>0.41</v>
      </c>
      <c r="G3301" s="4" t="s">
        <v>25</v>
      </c>
      <c r="H3301" s="6">
        <f t="shared" si="51"/>
        <v>498.96999999999997</v>
      </c>
    </row>
    <row r="3302" spans="1:8" x14ac:dyDescent="0.2">
      <c r="A3302" s="2" t="s">
        <v>3392</v>
      </c>
      <c r="B3302" s="2" t="s">
        <v>3333</v>
      </c>
      <c r="C3302" s="2" t="s">
        <v>71</v>
      </c>
      <c r="D3302" s="3">
        <v>1860</v>
      </c>
      <c r="E3302" s="4" t="s">
        <v>72</v>
      </c>
      <c r="F3302" s="5">
        <v>2953.01</v>
      </c>
      <c r="G3302" s="4" t="s">
        <v>73</v>
      </c>
      <c r="H3302" s="6">
        <f t="shared" si="51"/>
        <v>5492598.6000000006</v>
      </c>
    </row>
    <row r="3303" spans="1:8" x14ac:dyDescent="0.2">
      <c r="A3303" s="2" t="s">
        <v>3393</v>
      </c>
      <c r="B3303" s="2" t="s">
        <v>3333</v>
      </c>
      <c r="C3303" s="2" t="s">
        <v>67</v>
      </c>
      <c r="D3303" s="3">
        <v>930</v>
      </c>
      <c r="E3303" s="4" t="s">
        <v>24</v>
      </c>
      <c r="F3303" s="5">
        <v>0.45</v>
      </c>
      <c r="G3303" s="4" t="s">
        <v>25</v>
      </c>
      <c r="H3303" s="6">
        <f t="shared" si="51"/>
        <v>418.5</v>
      </c>
    </row>
    <row r="3304" spans="1:8" x14ac:dyDescent="0.2">
      <c r="A3304" s="2" t="s">
        <v>3394</v>
      </c>
      <c r="B3304" s="2" t="s">
        <v>3333</v>
      </c>
      <c r="C3304" s="2" t="s">
        <v>50</v>
      </c>
      <c r="D3304" s="3">
        <v>1849</v>
      </c>
      <c r="E3304" s="4" t="s">
        <v>20</v>
      </c>
      <c r="F3304" s="5">
        <v>0.76</v>
      </c>
      <c r="G3304" s="4" t="s">
        <v>21</v>
      </c>
      <c r="H3304" s="6">
        <f t="shared" si="51"/>
        <v>1405.24</v>
      </c>
    </row>
    <row r="3305" spans="1:8" x14ac:dyDescent="0.2">
      <c r="A3305" s="2" t="s">
        <v>3395</v>
      </c>
      <c r="B3305" s="2" t="s">
        <v>3333</v>
      </c>
      <c r="C3305" s="2" t="s">
        <v>71</v>
      </c>
      <c r="D3305" s="3">
        <v>2937</v>
      </c>
      <c r="E3305" s="4" t="s">
        <v>72</v>
      </c>
      <c r="F3305" s="5">
        <v>2445.77</v>
      </c>
      <c r="G3305" s="4" t="s">
        <v>73</v>
      </c>
      <c r="H3305" s="6">
        <f t="shared" si="51"/>
        <v>7183226.4900000002</v>
      </c>
    </row>
    <row r="3306" spans="1:8" x14ac:dyDescent="0.2">
      <c r="A3306" s="2" t="s">
        <v>3396</v>
      </c>
      <c r="B3306" s="2" t="s">
        <v>3333</v>
      </c>
      <c r="C3306" s="2" t="s">
        <v>57</v>
      </c>
      <c r="D3306" s="3">
        <v>979</v>
      </c>
      <c r="E3306" s="4" t="s">
        <v>20</v>
      </c>
      <c r="F3306" s="5">
        <v>0.74</v>
      </c>
      <c r="G3306" s="4" t="s">
        <v>21</v>
      </c>
      <c r="H3306" s="6">
        <f t="shared" si="51"/>
        <v>724.46</v>
      </c>
    </row>
    <row r="3307" spans="1:8" x14ac:dyDescent="0.2">
      <c r="A3307" s="2" t="s">
        <v>3397</v>
      </c>
      <c r="B3307" s="2" t="s">
        <v>3333</v>
      </c>
      <c r="C3307" s="2" t="s">
        <v>27</v>
      </c>
      <c r="D3307" s="3">
        <v>365</v>
      </c>
      <c r="E3307" s="4" t="s">
        <v>20</v>
      </c>
      <c r="F3307" s="5">
        <v>1.93</v>
      </c>
      <c r="G3307" s="4" t="s">
        <v>21</v>
      </c>
      <c r="H3307" s="6">
        <f t="shared" si="51"/>
        <v>704.44999999999993</v>
      </c>
    </row>
    <row r="3308" spans="1:8" x14ac:dyDescent="0.2">
      <c r="A3308" s="2" t="s">
        <v>3398</v>
      </c>
      <c r="B3308" s="2" t="s">
        <v>3333</v>
      </c>
      <c r="C3308" s="2" t="s">
        <v>118</v>
      </c>
      <c r="D3308" s="3">
        <v>3521</v>
      </c>
      <c r="E3308" s="4" t="s">
        <v>24</v>
      </c>
      <c r="F3308" s="5">
        <v>0.77</v>
      </c>
      <c r="G3308" s="4" t="s">
        <v>25</v>
      </c>
      <c r="H3308" s="6">
        <f t="shared" si="51"/>
        <v>2711.17</v>
      </c>
    </row>
    <row r="3309" spans="1:8" x14ac:dyDescent="0.2">
      <c r="A3309" s="2" t="s">
        <v>3399</v>
      </c>
      <c r="B3309" s="2" t="s">
        <v>3333</v>
      </c>
      <c r="C3309" s="2" t="s">
        <v>147</v>
      </c>
      <c r="D3309" s="3">
        <v>1495</v>
      </c>
      <c r="E3309" s="4" t="s">
        <v>53</v>
      </c>
      <c r="F3309" s="5">
        <v>13.44</v>
      </c>
      <c r="G3309" s="4" t="s">
        <v>54</v>
      </c>
      <c r="H3309" s="6">
        <f t="shared" si="51"/>
        <v>20092.8</v>
      </c>
    </row>
    <row r="3310" spans="1:8" x14ac:dyDescent="0.2">
      <c r="A3310" s="2" t="s">
        <v>3400</v>
      </c>
      <c r="B3310" s="2" t="s">
        <v>3333</v>
      </c>
      <c r="C3310" s="2" t="s">
        <v>89</v>
      </c>
      <c r="D3310" s="3">
        <v>2480</v>
      </c>
      <c r="E3310" s="4" t="s">
        <v>30</v>
      </c>
      <c r="F3310" s="5">
        <v>2.5499999999999998</v>
      </c>
      <c r="G3310" s="4" t="s">
        <v>31</v>
      </c>
      <c r="H3310" s="6">
        <f t="shared" si="51"/>
        <v>6324</v>
      </c>
    </row>
    <row r="3311" spans="1:8" x14ac:dyDescent="0.2">
      <c r="A3311" s="2" t="s">
        <v>3401</v>
      </c>
      <c r="B3311" s="2" t="s">
        <v>3333</v>
      </c>
      <c r="C3311" s="2" t="s">
        <v>71</v>
      </c>
      <c r="D3311" s="3">
        <v>2863</v>
      </c>
      <c r="E3311" s="4" t="s">
        <v>72</v>
      </c>
      <c r="F3311" s="5">
        <v>2925.24</v>
      </c>
      <c r="G3311" s="4" t="s">
        <v>73</v>
      </c>
      <c r="H3311" s="6">
        <f t="shared" si="51"/>
        <v>8374962.1199999992</v>
      </c>
    </row>
    <row r="3312" spans="1:8" x14ac:dyDescent="0.2">
      <c r="A3312" s="2" t="s">
        <v>3402</v>
      </c>
      <c r="B3312" s="2" t="s">
        <v>3333</v>
      </c>
      <c r="C3312" s="2" t="s">
        <v>86</v>
      </c>
      <c r="D3312" s="3">
        <v>4099</v>
      </c>
      <c r="E3312" s="4" t="s">
        <v>72</v>
      </c>
      <c r="F3312" s="5">
        <v>8726.42</v>
      </c>
      <c r="G3312" s="4" t="s">
        <v>73</v>
      </c>
      <c r="H3312" s="6">
        <f t="shared" si="51"/>
        <v>35769595.579999998</v>
      </c>
    </row>
    <row r="3313" spans="1:8" x14ac:dyDescent="0.2">
      <c r="A3313" s="2" t="s">
        <v>3403</v>
      </c>
      <c r="B3313" s="2" t="s">
        <v>3333</v>
      </c>
      <c r="C3313" s="2" t="s">
        <v>86</v>
      </c>
      <c r="D3313" s="3">
        <v>635</v>
      </c>
      <c r="E3313" s="4" t="s">
        <v>72</v>
      </c>
      <c r="F3313" s="5">
        <v>8904.4</v>
      </c>
      <c r="G3313" s="4" t="s">
        <v>73</v>
      </c>
      <c r="H3313" s="6">
        <f t="shared" si="51"/>
        <v>5654294</v>
      </c>
    </row>
    <row r="3314" spans="1:8" x14ac:dyDescent="0.2">
      <c r="A3314" s="2" t="s">
        <v>3404</v>
      </c>
      <c r="B3314" s="2" t="s">
        <v>3333</v>
      </c>
      <c r="C3314" s="2" t="s">
        <v>89</v>
      </c>
      <c r="D3314" s="3">
        <v>1210</v>
      </c>
      <c r="E3314" s="4" t="s">
        <v>30</v>
      </c>
      <c r="F3314" s="5">
        <v>2.1800000000000002</v>
      </c>
      <c r="G3314" s="4" t="s">
        <v>31</v>
      </c>
      <c r="H3314" s="6">
        <f t="shared" si="51"/>
        <v>2637.8</v>
      </c>
    </row>
    <row r="3315" spans="1:8" x14ac:dyDescent="0.2">
      <c r="A3315" s="2" t="s">
        <v>3405</v>
      </c>
      <c r="B3315" s="2" t="s">
        <v>3333</v>
      </c>
      <c r="C3315" s="2" t="s">
        <v>67</v>
      </c>
      <c r="D3315" s="3">
        <v>3669</v>
      </c>
      <c r="E3315" s="4" t="s">
        <v>24</v>
      </c>
      <c r="F3315" s="5">
        <v>0.52</v>
      </c>
      <c r="G3315" s="4" t="s">
        <v>25</v>
      </c>
      <c r="H3315" s="6">
        <f t="shared" si="51"/>
        <v>1907.88</v>
      </c>
    </row>
    <row r="3316" spans="1:8" x14ac:dyDescent="0.2">
      <c r="A3316" s="2" t="s">
        <v>3406</v>
      </c>
      <c r="B3316" s="2" t="s">
        <v>3333</v>
      </c>
      <c r="C3316" s="2" t="s">
        <v>48</v>
      </c>
      <c r="D3316" s="3">
        <v>561</v>
      </c>
      <c r="E3316" s="4" t="s">
        <v>24</v>
      </c>
      <c r="F3316" s="5">
        <v>7.0000000000000007E-2</v>
      </c>
      <c r="G3316" s="4" t="s">
        <v>25</v>
      </c>
      <c r="H3316" s="6">
        <f t="shared" si="51"/>
        <v>39.270000000000003</v>
      </c>
    </row>
    <row r="3317" spans="1:8" x14ac:dyDescent="0.2">
      <c r="A3317" s="2" t="s">
        <v>3407</v>
      </c>
      <c r="B3317" s="2" t="s">
        <v>3333</v>
      </c>
      <c r="C3317" s="2" t="s">
        <v>52</v>
      </c>
      <c r="D3317" s="3">
        <v>2291</v>
      </c>
      <c r="E3317" s="4" t="s">
        <v>53</v>
      </c>
      <c r="F3317" s="5">
        <v>9.7200000000000006</v>
      </c>
      <c r="G3317" s="4" t="s">
        <v>54</v>
      </c>
      <c r="H3317" s="6">
        <f t="shared" si="51"/>
        <v>22268.52</v>
      </c>
    </row>
    <row r="3318" spans="1:8" x14ac:dyDescent="0.2">
      <c r="A3318" s="2" t="s">
        <v>3408</v>
      </c>
      <c r="B3318" s="2" t="s">
        <v>3333</v>
      </c>
      <c r="C3318" s="2" t="s">
        <v>57</v>
      </c>
      <c r="D3318" s="3">
        <v>1054</v>
      </c>
      <c r="E3318" s="4" t="s">
        <v>20</v>
      </c>
      <c r="F3318" s="5">
        <v>0.67</v>
      </c>
      <c r="G3318" s="4" t="s">
        <v>21</v>
      </c>
      <c r="H3318" s="6">
        <f t="shared" si="51"/>
        <v>706.18000000000006</v>
      </c>
    </row>
    <row r="3319" spans="1:8" x14ac:dyDescent="0.2">
      <c r="A3319" s="2" t="s">
        <v>3409</v>
      </c>
      <c r="B3319" s="2" t="s">
        <v>3333</v>
      </c>
      <c r="C3319" s="2" t="s">
        <v>67</v>
      </c>
      <c r="D3319" s="3">
        <v>2898</v>
      </c>
      <c r="E3319" s="4" t="s">
        <v>24</v>
      </c>
      <c r="F3319" s="5">
        <v>0.4</v>
      </c>
      <c r="G3319" s="4" t="s">
        <v>25</v>
      </c>
      <c r="H3319" s="6">
        <f t="shared" si="51"/>
        <v>1159.2</v>
      </c>
    </row>
    <row r="3320" spans="1:8" x14ac:dyDescent="0.2">
      <c r="A3320" s="2" t="s">
        <v>3410</v>
      </c>
      <c r="B3320" s="2" t="s">
        <v>3333</v>
      </c>
      <c r="C3320" s="2" t="s">
        <v>52</v>
      </c>
      <c r="D3320" s="3">
        <v>3952</v>
      </c>
      <c r="E3320" s="4" t="s">
        <v>53</v>
      </c>
      <c r="F3320" s="5">
        <v>12.47</v>
      </c>
      <c r="G3320" s="4" t="s">
        <v>54</v>
      </c>
      <c r="H3320" s="6">
        <f t="shared" si="51"/>
        <v>49281.440000000002</v>
      </c>
    </row>
    <row r="3321" spans="1:8" x14ac:dyDescent="0.2">
      <c r="A3321" s="2" t="s">
        <v>3411</v>
      </c>
      <c r="B3321" s="2" t="s">
        <v>3333</v>
      </c>
      <c r="C3321" s="2" t="s">
        <v>52</v>
      </c>
      <c r="D3321" s="3">
        <v>4939</v>
      </c>
      <c r="E3321" s="4" t="s">
        <v>53</v>
      </c>
      <c r="F3321" s="5">
        <v>12.97</v>
      </c>
      <c r="G3321" s="4" t="s">
        <v>54</v>
      </c>
      <c r="H3321" s="6">
        <f t="shared" si="51"/>
        <v>64058.83</v>
      </c>
    </row>
    <row r="3322" spans="1:8" x14ac:dyDescent="0.2">
      <c r="A3322" s="2" t="s">
        <v>3412</v>
      </c>
      <c r="B3322" s="2" t="s">
        <v>3333</v>
      </c>
      <c r="C3322" s="2" t="s">
        <v>57</v>
      </c>
      <c r="D3322" s="3">
        <v>1142</v>
      </c>
      <c r="E3322" s="4" t="s">
        <v>20</v>
      </c>
      <c r="F3322" s="5">
        <v>0.92</v>
      </c>
      <c r="G3322" s="4" t="s">
        <v>21</v>
      </c>
      <c r="H3322" s="6">
        <f t="shared" si="51"/>
        <v>1050.6400000000001</v>
      </c>
    </row>
    <row r="3323" spans="1:8" x14ac:dyDescent="0.2">
      <c r="A3323" s="2" t="s">
        <v>3413</v>
      </c>
      <c r="B3323" s="2" t="s">
        <v>3333</v>
      </c>
      <c r="C3323" s="2" t="s">
        <v>42</v>
      </c>
      <c r="D3323" s="3">
        <v>3149</v>
      </c>
      <c r="E3323" s="4" t="s">
        <v>24</v>
      </c>
      <c r="F3323" s="5">
        <v>4.76</v>
      </c>
      <c r="G3323" s="4" t="s">
        <v>25</v>
      </c>
      <c r="H3323" s="6">
        <f t="shared" si="51"/>
        <v>14989.24</v>
      </c>
    </row>
    <row r="3324" spans="1:8" x14ac:dyDescent="0.2">
      <c r="A3324" s="2" t="s">
        <v>3414</v>
      </c>
      <c r="B3324" s="2" t="s">
        <v>3333</v>
      </c>
      <c r="C3324" s="2" t="s">
        <v>48</v>
      </c>
      <c r="D3324" s="3">
        <v>4423</v>
      </c>
      <c r="E3324" s="4" t="s">
        <v>24</v>
      </c>
      <c r="F3324" s="5">
        <v>0.13</v>
      </c>
      <c r="G3324" s="4" t="s">
        <v>25</v>
      </c>
      <c r="H3324" s="6">
        <f t="shared" si="51"/>
        <v>574.99</v>
      </c>
    </row>
    <row r="3325" spans="1:8" x14ac:dyDescent="0.2">
      <c r="A3325" s="2" t="s">
        <v>3415</v>
      </c>
      <c r="B3325" s="2" t="s">
        <v>3333</v>
      </c>
      <c r="C3325" s="2" t="s">
        <v>29</v>
      </c>
      <c r="D3325" s="3">
        <v>4402</v>
      </c>
      <c r="E3325" s="4" t="s">
        <v>30</v>
      </c>
      <c r="F3325" s="5">
        <v>1.99</v>
      </c>
      <c r="G3325" s="4" t="s">
        <v>31</v>
      </c>
      <c r="H3325" s="6">
        <f t="shared" si="51"/>
        <v>8759.98</v>
      </c>
    </row>
    <row r="3326" spans="1:8" x14ac:dyDescent="0.2">
      <c r="A3326" s="2" t="s">
        <v>3416</v>
      </c>
      <c r="B3326" s="2" t="s">
        <v>3333</v>
      </c>
      <c r="C3326" s="2" t="s">
        <v>67</v>
      </c>
      <c r="D3326" s="3">
        <v>694</v>
      </c>
      <c r="E3326" s="4" t="s">
        <v>24</v>
      </c>
      <c r="F3326" s="5">
        <v>0.47</v>
      </c>
      <c r="G3326" s="4" t="s">
        <v>25</v>
      </c>
      <c r="H3326" s="6">
        <f t="shared" si="51"/>
        <v>326.18</v>
      </c>
    </row>
    <row r="3327" spans="1:8" x14ac:dyDescent="0.2">
      <c r="A3327" s="2" t="s">
        <v>3417</v>
      </c>
      <c r="B3327" s="2" t="s">
        <v>3333</v>
      </c>
      <c r="C3327" s="2" t="s">
        <v>52</v>
      </c>
      <c r="D3327" s="3">
        <v>4326</v>
      </c>
      <c r="E3327" s="4" t="s">
        <v>53</v>
      </c>
      <c r="F3327" s="5">
        <v>11.89</v>
      </c>
      <c r="G3327" s="4" t="s">
        <v>54</v>
      </c>
      <c r="H3327" s="6">
        <f t="shared" si="51"/>
        <v>51436.14</v>
      </c>
    </row>
    <row r="3328" spans="1:8" x14ac:dyDescent="0.2">
      <c r="A3328" s="2" t="s">
        <v>3418</v>
      </c>
      <c r="B3328" s="2" t="s">
        <v>3333</v>
      </c>
      <c r="C3328" s="2" t="s">
        <v>42</v>
      </c>
      <c r="D3328" s="3">
        <v>724</v>
      </c>
      <c r="E3328" s="4" t="s">
        <v>24</v>
      </c>
      <c r="F3328" s="5">
        <v>4.21</v>
      </c>
      <c r="G3328" s="4" t="s">
        <v>25</v>
      </c>
      <c r="H3328" s="6">
        <f t="shared" si="51"/>
        <v>3048.04</v>
      </c>
    </row>
    <row r="3329" spans="1:8" x14ac:dyDescent="0.2">
      <c r="A3329" s="2" t="s">
        <v>3419</v>
      </c>
      <c r="B3329" s="2" t="s">
        <v>3333</v>
      </c>
      <c r="C3329" s="2" t="s">
        <v>33</v>
      </c>
      <c r="D3329" s="3">
        <v>1675</v>
      </c>
      <c r="E3329" s="4" t="s">
        <v>34</v>
      </c>
      <c r="F3329" s="5">
        <v>5.98</v>
      </c>
      <c r="G3329" s="4" t="s">
        <v>35</v>
      </c>
      <c r="H3329" s="6">
        <f t="shared" si="51"/>
        <v>10016.5</v>
      </c>
    </row>
    <row r="3330" spans="1:8" x14ac:dyDescent="0.2">
      <c r="A3330" s="2" t="s">
        <v>3420</v>
      </c>
      <c r="B3330" s="2" t="s">
        <v>3333</v>
      </c>
      <c r="C3330" s="2" t="s">
        <v>33</v>
      </c>
      <c r="D3330" s="3">
        <v>2978</v>
      </c>
      <c r="E3330" s="4" t="s">
        <v>34</v>
      </c>
      <c r="F3330" s="5">
        <v>4.9000000000000004</v>
      </c>
      <c r="G3330" s="4" t="s">
        <v>35</v>
      </c>
      <c r="H3330" s="6">
        <f t="shared" ref="H3330:H3393" si="52">D3330*F3330</f>
        <v>14592.2</v>
      </c>
    </row>
    <row r="3331" spans="1:8" x14ac:dyDescent="0.2">
      <c r="A3331" s="2" t="s">
        <v>3421</v>
      </c>
      <c r="B3331" s="2" t="s">
        <v>3333</v>
      </c>
      <c r="C3331" s="2" t="s">
        <v>89</v>
      </c>
      <c r="D3331" s="3">
        <v>912</v>
      </c>
      <c r="E3331" s="4" t="s">
        <v>30</v>
      </c>
      <c r="F3331" s="5">
        <v>1.87</v>
      </c>
      <c r="G3331" s="4" t="s">
        <v>31</v>
      </c>
      <c r="H3331" s="6">
        <f t="shared" si="52"/>
        <v>1705.44</v>
      </c>
    </row>
    <row r="3332" spans="1:8" x14ac:dyDescent="0.2">
      <c r="A3332" s="2" t="s">
        <v>3422</v>
      </c>
      <c r="B3332" s="2" t="s">
        <v>3333</v>
      </c>
      <c r="C3332" s="2" t="s">
        <v>19</v>
      </c>
      <c r="D3332" s="3">
        <v>2966</v>
      </c>
      <c r="E3332" s="4" t="s">
        <v>20</v>
      </c>
      <c r="F3332" s="5">
        <v>1.61</v>
      </c>
      <c r="G3332" s="4" t="s">
        <v>21</v>
      </c>
      <c r="H3332" s="6">
        <f t="shared" si="52"/>
        <v>4775.26</v>
      </c>
    </row>
    <row r="3333" spans="1:8" x14ac:dyDescent="0.2">
      <c r="A3333" s="2" t="s">
        <v>3423</v>
      </c>
      <c r="B3333" s="2" t="s">
        <v>3333</v>
      </c>
      <c r="C3333" s="2" t="s">
        <v>89</v>
      </c>
      <c r="D3333" s="3">
        <v>2424</v>
      </c>
      <c r="E3333" s="4" t="s">
        <v>30</v>
      </c>
      <c r="F3333" s="5">
        <v>2.35</v>
      </c>
      <c r="G3333" s="4" t="s">
        <v>31</v>
      </c>
      <c r="H3333" s="6">
        <f t="shared" si="52"/>
        <v>5696.4000000000005</v>
      </c>
    </row>
    <row r="3334" spans="1:8" x14ac:dyDescent="0.2">
      <c r="A3334" s="2" t="s">
        <v>3424</v>
      </c>
      <c r="B3334" s="2" t="s">
        <v>3333</v>
      </c>
      <c r="C3334" s="2" t="s">
        <v>29</v>
      </c>
      <c r="D3334" s="3">
        <v>3459</v>
      </c>
      <c r="E3334" s="4" t="s">
        <v>30</v>
      </c>
      <c r="F3334" s="5">
        <v>1.29</v>
      </c>
      <c r="G3334" s="4" t="s">
        <v>31</v>
      </c>
      <c r="H3334" s="6">
        <f t="shared" si="52"/>
        <v>4462.1099999999997</v>
      </c>
    </row>
    <row r="3335" spans="1:8" x14ac:dyDescent="0.2">
      <c r="A3335" s="2" t="s">
        <v>3425</v>
      </c>
      <c r="B3335" s="2" t="s">
        <v>3333</v>
      </c>
      <c r="C3335" s="2" t="s">
        <v>42</v>
      </c>
      <c r="D3335" s="3">
        <v>467</v>
      </c>
      <c r="E3335" s="4" t="s">
        <v>24</v>
      </c>
      <c r="F3335" s="5">
        <v>5.74</v>
      </c>
      <c r="G3335" s="4" t="s">
        <v>25</v>
      </c>
      <c r="H3335" s="6">
        <f t="shared" si="52"/>
        <v>2680.58</v>
      </c>
    </row>
    <row r="3336" spans="1:8" x14ac:dyDescent="0.2">
      <c r="A3336" s="2" t="s">
        <v>3426</v>
      </c>
      <c r="B3336" s="2" t="s">
        <v>3333</v>
      </c>
      <c r="C3336" s="2" t="s">
        <v>50</v>
      </c>
      <c r="D3336" s="3">
        <v>1182</v>
      </c>
      <c r="E3336" s="4" t="s">
        <v>20</v>
      </c>
      <c r="F3336" s="5">
        <v>0.93</v>
      </c>
      <c r="G3336" s="4" t="s">
        <v>21</v>
      </c>
      <c r="H3336" s="6">
        <f t="shared" si="52"/>
        <v>1099.26</v>
      </c>
    </row>
    <row r="3337" spans="1:8" x14ac:dyDescent="0.2">
      <c r="A3337" s="2" t="s">
        <v>3427</v>
      </c>
      <c r="B3337" s="2" t="s">
        <v>3333</v>
      </c>
      <c r="C3337" s="2" t="s">
        <v>33</v>
      </c>
      <c r="D3337" s="3">
        <v>3489</v>
      </c>
      <c r="E3337" s="4" t="s">
        <v>34</v>
      </c>
      <c r="F3337" s="5">
        <v>4.43</v>
      </c>
      <c r="G3337" s="4" t="s">
        <v>35</v>
      </c>
      <c r="H3337" s="6">
        <f t="shared" si="52"/>
        <v>15456.269999999999</v>
      </c>
    </row>
    <row r="3338" spans="1:8" x14ac:dyDescent="0.2">
      <c r="A3338" s="2" t="s">
        <v>3428</v>
      </c>
      <c r="B3338" s="2" t="s">
        <v>3333</v>
      </c>
      <c r="C3338" s="2" t="s">
        <v>50</v>
      </c>
      <c r="D3338" s="3">
        <v>4774</v>
      </c>
      <c r="E3338" s="4" t="s">
        <v>20</v>
      </c>
      <c r="F3338" s="5">
        <v>0.74</v>
      </c>
      <c r="G3338" s="4" t="s">
        <v>21</v>
      </c>
      <c r="H3338" s="6">
        <f t="shared" si="52"/>
        <v>3532.7599999999998</v>
      </c>
    </row>
    <row r="3339" spans="1:8" x14ac:dyDescent="0.2">
      <c r="A3339" s="2" t="s">
        <v>3429</v>
      </c>
      <c r="B3339" s="2" t="s">
        <v>3333</v>
      </c>
      <c r="C3339" s="2" t="s">
        <v>147</v>
      </c>
      <c r="D3339" s="3">
        <v>1305</v>
      </c>
      <c r="E3339" s="4" t="s">
        <v>53</v>
      </c>
      <c r="F3339" s="5">
        <v>8.24</v>
      </c>
      <c r="G3339" s="4" t="s">
        <v>54</v>
      </c>
      <c r="H3339" s="6">
        <f t="shared" si="52"/>
        <v>10753.2</v>
      </c>
    </row>
    <row r="3340" spans="1:8" x14ac:dyDescent="0.2">
      <c r="A3340" s="2" t="s">
        <v>3430</v>
      </c>
      <c r="B3340" s="2" t="s">
        <v>3333</v>
      </c>
      <c r="C3340" s="2" t="s">
        <v>19</v>
      </c>
      <c r="D3340" s="3">
        <v>1167</v>
      </c>
      <c r="E3340" s="4" t="s">
        <v>20</v>
      </c>
      <c r="F3340" s="5">
        <v>1.1499999999999999</v>
      </c>
      <c r="G3340" s="4" t="s">
        <v>21</v>
      </c>
      <c r="H3340" s="6">
        <f t="shared" si="52"/>
        <v>1342.05</v>
      </c>
    </row>
    <row r="3341" spans="1:8" x14ac:dyDescent="0.2">
      <c r="A3341" s="2" t="s">
        <v>3431</v>
      </c>
      <c r="B3341" s="2" t="s">
        <v>3333</v>
      </c>
      <c r="C3341" s="2" t="s">
        <v>27</v>
      </c>
      <c r="D3341" s="3">
        <v>112</v>
      </c>
      <c r="E3341" s="4" t="s">
        <v>20</v>
      </c>
      <c r="F3341" s="5">
        <v>1.88</v>
      </c>
      <c r="G3341" s="4" t="s">
        <v>21</v>
      </c>
      <c r="H3341" s="6">
        <f t="shared" si="52"/>
        <v>210.56</v>
      </c>
    </row>
    <row r="3342" spans="1:8" x14ac:dyDescent="0.2">
      <c r="A3342" s="2" t="s">
        <v>3432</v>
      </c>
      <c r="B3342" s="2" t="s">
        <v>3333</v>
      </c>
      <c r="C3342" s="2" t="s">
        <v>52</v>
      </c>
      <c r="D3342" s="3">
        <v>1236</v>
      </c>
      <c r="E3342" s="4" t="s">
        <v>53</v>
      </c>
      <c r="F3342" s="5">
        <v>12.83</v>
      </c>
      <c r="G3342" s="4" t="s">
        <v>54</v>
      </c>
      <c r="H3342" s="6">
        <f t="shared" si="52"/>
        <v>15857.88</v>
      </c>
    </row>
    <row r="3343" spans="1:8" x14ac:dyDescent="0.2">
      <c r="A3343" s="2" t="s">
        <v>3433</v>
      </c>
      <c r="B3343" s="2" t="s">
        <v>3333</v>
      </c>
      <c r="C3343" s="2" t="s">
        <v>48</v>
      </c>
      <c r="D3343" s="3">
        <v>1157</v>
      </c>
      <c r="E3343" s="4" t="s">
        <v>24</v>
      </c>
      <c r="F3343" s="5">
        <v>0.16</v>
      </c>
      <c r="G3343" s="4" t="s">
        <v>25</v>
      </c>
      <c r="H3343" s="6">
        <f t="shared" si="52"/>
        <v>185.12</v>
      </c>
    </row>
    <row r="3344" spans="1:8" x14ac:dyDescent="0.2">
      <c r="A3344" s="2" t="s">
        <v>3434</v>
      </c>
      <c r="B3344" s="2" t="s">
        <v>3333</v>
      </c>
      <c r="C3344" s="2" t="s">
        <v>71</v>
      </c>
      <c r="D3344" s="3">
        <v>3861</v>
      </c>
      <c r="E3344" s="4" t="s">
        <v>72</v>
      </c>
      <c r="F3344" s="5">
        <v>2646.91</v>
      </c>
      <c r="G3344" s="4" t="s">
        <v>73</v>
      </c>
      <c r="H3344" s="6">
        <f t="shared" si="52"/>
        <v>10219719.51</v>
      </c>
    </row>
    <row r="3345" spans="1:8" x14ac:dyDescent="0.2">
      <c r="A3345" s="2" t="s">
        <v>3435</v>
      </c>
      <c r="B3345" s="2" t="s">
        <v>3333</v>
      </c>
      <c r="C3345" s="2" t="s">
        <v>57</v>
      </c>
      <c r="D3345" s="3">
        <v>3647</v>
      </c>
      <c r="E3345" s="4" t="s">
        <v>20</v>
      </c>
      <c r="F3345" s="5">
        <v>0.91</v>
      </c>
      <c r="G3345" s="4" t="s">
        <v>21</v>
      </c>
      <c r="H3345" s="6">
        <f t="shared" si="52"/>
        <v>3318.77</v>
      </c>
    </row>
    <row r="3346" spans="1:8" x14ac:dyDescent="0.2">
      <c r="A3346" s="2" t="s">
        <v>3436</v>
      </c>
      <c r="B3346" s="2" t="s">
        <v>3333</v>
      </c>
      <c r="C3346" s="2" t="s">
        <v>33</v>
      </c>
      <c r="D3346" s="3">
        <v>2359</v>
      </c>
      <c r="E3346" s="4" t="s">
        <v>34</v>
      </c>
      <c r="F3346" s="5">
        <v>3.78</v>
      </c>
      <c r="G3346" s="4" t="s">
        <v>35</v>
      </c>
      <c r="H3346" s="6">
        <f t="shared" si="52"/>
        <v>8917.02</v>
      </c>
    </row>
    <row r="3347" spans="1:8" x14ac:dyDescent="0.2">
      <c r="A3347" s="2" t="s">
        <v>3437</v>
      </c>
      <c r="B3347" s="2" t="s">
        <v>3333</v>
      </c>
      <c r="C3347" s="2" t="s">
        <v>37</v>
      </c>
      <c r="D3347" s="3">
        <v>273</v>
      </c>
      <c r="E3347" s="4" t="s">
        <v>38</v>
      </c>
      <c r="F3347" s="5">
        <v>3.81</v>
      </c>
      <c r="G3347" s="4" t="s">
        <v>39</v>
      </c>
      <c r="H3347" s="6">
        <f t="shared" si="52"/>
        <v>1040.1300000000001</v>
      </c>
    </row>
    <row r="3348" spans="1:8" x14ac:dyDescent="0.2">
      <c r="A3348" s="2" t="s">
        <v>3438</v>
      </c>
      <c r="B3348" s="2" t="s">
        <v>3333</v>
      </c>
      <c r="C3348" s="2" t="s">
        <v>118</v>
      </c>
      <c r="D3348" s="3">
        <v>4132</v>
      </c>
      <c r="E3348" s="4" t="s">
        <v>24</v>
      </c>
      <c r="F3348" s="5">
        <v>0.51</v>
      </c>
      <c r="G3348" s="4" t="s">
        <v>25</v>
      </c>
      <c r="H3348" s="6">
        <f t="shared" si="52"/>
        <v>2107.3200000000002</v>
      </c>
    </row>
    <row r="3349" spans="1:8" x14ac:dyDescent="0.2">
      <c r="A3349" s="2" t="s">
        <v>3439</v>
      </c>
      <c r="B3349" s="2" t="s">
        <v>3333</v>
      </c>
      <c r="C3349" s="2" t="s">
        <v>67</v>
      </c>
      <c r="D3349" s="3">
        <v>3480</v>
      </c>
      <c r="E3349" s="4" t="s">
        <v>24</v>
      </c>
      <c r="F3349" s="5">
        <v>0.5</v>
      </c>
      <c r="G3349" s="4" t="s">
        <v>25</v>
      </c>
      <c r="H3349" s="6">
        <f t="shared" si="52"/>
        <v>1740</v>
      </c>
    </row>
    <row r="3350" spans="1:8" x14ac:dyDescent="0.2">
      <c r="A3350" s="2" t="s">
        <v>3440</v>
      </c>
      <c r="B3350" s="2" t="s">
        <v>3333</v>
      </c>
      <c r="C3350" s="2" t="s">
        <v>23</v>
      </c>
      <c r="D3350" s="3">
        <v>4549</v>
      </c>
      <c r="E3350" s="4" t="s">
        <v>24</v>
      </c>
      <c r="F3350" s="5">
        <v>16.27</v>
      </c>
      <c r="G3350" s="4" t="s">
        <v>25</v>
      </c>
      <c r="H3350" s="6">
        <f t="shared" si="52"/>
        <v>74012.23</v>
      </c>
    </row>
    <row r="3351" spans="1:8" x14ac:dyDescent="0.2">
      <c r="A3351" s="2" t="s">
        <v>3441</v>
      </c>
      <c r="B3351" s="2" t="s">
        <v>3333</v>
      </c>
      <c r="C3351" s="2" t="s">
        <v>86</v>
      </c>
      <c r="D3351" s="3">
        <v>4696</v>
      </c>
      <c r="E3351" s="4" t="s">
        <v>72</v>
      </c>
      <c r="F3351" s="5">
        <v>8502.6200000000008</v>
      </c>
      <c r="G3351" s="4" t="s">
        <v>73</v>
      </c>
      <c r="H3351" s="6">
        <f t="shared" si="52"/>
        <v>39928303.520000003</v>
      </c>
    </row>
    <row r="3352" spans="1:8" x14ac:dyDescent="0.2">
      <c r="A3352" s="2" t="s">
        <v>3442</v>
      </c>
      <c r="B3352" s="2" t="s">
        <v>3333</v>
      </c>
      <c r="C3352" s="2" t="s">
        <v>42</v>
      </c>
      <c r="D3352" s="3">
        <v>3480</v>
      </c>
      <c r="E3352" s="4" t="s">
        <v>24</v>
      </c>
      <c r="F3352" s="5">
        <v>6.29</v>
      </c>
      <c r="G3352" s="4" t="s">
        <v>25</v>
      </c>
      <c r="H3352" s="6">
        <f t="shared" si="52"/>
        <v>21889.200000000001</v>
      </c>
    </row>
    <row r="3353" spans="1:8" x14ac:dyDescent="0.2">
      <c r="A3353" s="2" t="s">
        <v>3443</v>
      </c>
      <c r="B3353" s="2" t="s">
        <v>3333</v>
      </c>
      <c r="C3353" s="2" t="s">
        <v>86</v>
      </c>
      <c r="D3353" s="3">
        <v>763</v>
      </c>
      <c r="E3353" s="4" t="s">
        <v>72</v>
      </c>
      <c r="F3353" s="5">
        <v>8530.1</v>
      </c>
      <c r="G3353" s="4" t="s">
        <v>73</v>
      </c>
      <c r="H3353" s="6">
        <f t="shared" si="52"/>
        <v>6508466.2999999998</v>
      </c>
    </row>
    <row r="3354" spans="1:8" x14ac:dyDescent="0.2">
      <c r="A3354" s="2" t="s">
        <v>3444</v>
      </c>
      <c r="B3354" s="2" t="s">
        <v>3333</v>
      </c>
      <c r="C3354" s="2" t="s">
        <v>89</v>
      </c>
      <c r="D3354" s="3">
        <v>1745</v>
      </c>
      <c r="E3354" s="4" t="s">
        <v>30</v>
      </c>
      <c r="F3354" s="5">
        <v>2.2799999999999998</v>
      </c>
      <c r="G3354" s="4" t="s">
        <v>31</v>
      </c>
      <c r="H3354" s="6">
        <f t="shared" si="52"/>
        <v>3978.5999999999995</v>
      </c>
    </row>
    <row r="3355" spans="1:8" x14ac:dyDescent="0.2">
      <c r="A3355" s="2" t="s">
        <v>3445</v>
      </c>
      <c r="B3355" s="2" t="s">
        <v>3333</v>
      </c>
      <c r="C3355" s="2" t="s">
        <v>37</v>
      </c>
      <c r="D3355" s="3">
        <v>1803</v>
      </c>
      <c r="E3355" s="4" t="s">
        <v>38</v>
      </c>
      <c r="F3355" s="5">
        <v>3.18</v>
      </c>
      <c r="G3355" s="4" t="s">
        <v>39</v>
      </c>
      <c r="H3355" s="6">
        <f t="shared" si="52"/>
        <v>5733.54</v>
      </c>
    </row>
    <row r="3356" spans="1:8" x14ac:dyDescent="0.2">
      <c r="A3356" s="2" t="s">
        <v>3446</v>
      </c>
      <c r="B3356" s="2" t="s">
        <v>3333</v>
      </c>
      <c r="C3356" s="2" t="s">
        <v>29</v>
      </c>
      <c r="D3356" s="3">
        <v>4966</v>
      </c>
      <c r="E3356" s="4" t="s">
        <v>30</v>
      </c>
      <c r="F3356" s="5">
        <v>2.0099999999999998</v>
      </c>
      <c r="G3356" s="4" t="s">
        <v>31</v>
      </c>
      <c r="H3356" s="6">
        <f t="shared" si="52"/>
        <v>9981.659999999998</v>
      </c>
    </row>
    <row r="3357" spans="1:8" x14ac:dyDescent="0.2">
      <c r="A3357" s="2" t="s">
        <v>3447</v>
      </c>
      <c r="B3357" s="2" t="s">
        <v>3333</v>
      </c>
      <c r="C3357" s="2" t="s">
        <v>23</v>
      </c>
      <c r="D3357" s="3">
        <v>3920</v>
      </c>
      <c r="E3357" s="4" t="s">
        <v>24</v>
      </c>
      <c r="F3357" s="5">
        <v>13.88</v>
      </c>
      <c r="G3357" s="4" t="s">
        <v>25</v>
      </c>
      <c r="H3357" s="6">
        <f t="shared" si="52"/>
        <v>54409.600000000006</v>
      </c>
    </row>
    <row r="3358" spans="1:8" x14ac:dyDescent="0.2">
      <c r="A3358" s="2" t="s">
        <v>3448</v>
      </c>
      <c r="B3358" s="2" t="s">
        <v>3333</v>
      </c>
      <c r="C3358" s="2" t="s">
        <v>67</v>
      </c>
      <c r="D3358" s="3">
        <v>3126</v>
      </c>
      <c r="E3358" s="4" t="s">
        <v>24</v>
      </c>
      <c r="F3358" s="5">
        <v>0.35</v>
      </c>
      <c r="G3358" s="4" t="s">
        <v>25</v>
      </c>
      <c r="H3358" s="6">
        <f t="shared" si="52"/>
        <v>1094.0999999999999</v>
      </c>
    </row>
    <row r="3359" spans="1:8" x14ac:dyDescent="0.2">
      <c r="A3359" s="2" t="s">
        <v>3449</v>
      </c>
      <c r="B3359" s="2" t="s">
        <v>3333</v>
      </c>
      <c r="C3359" s="2" t="s">
        <v>19</v>
      </c>
      <c r="D3359" s="3">
        <v>3485</v>
      </c>
      <c r="E3359" s="4" t="s">
        <v>20</v>
      </c>
      <c r="F3359" s="5">
        <v>1.22</v>
      </c>
      <c r="G3359" s="4" t="s">
        <v>21</v>
      </c>
      <c r="H3359" s="6">
        <f t="shared" si="52"/>
        <v>4251.7</v>
      </c>
    </row>
    <row r="3360" spans="1:8" x14ac:dyDescent="0.2">
      <c r="A3360" s="2" t="s">
        <v>3450</v>
      </c>
      <c r="B3360" s="2" t="s">
        <v>3333</v>
      </c>
      <c r="C3360" s="2" t="s">
        <v>50</v>
      </c>
      <c r="D3360" s="3">
        <v>865</v>
      </c>
      <c r="E3360" s="4" t="s">
        <v>20</v>
      </c>
      <c r="F3360" s="5">
        <v>0.75</v>
      </c>
      <c r="G3360" s="4" t="s">
        <v>21</v>
      </c>
      <c r="H3360" s="6">
        <f t="shared" si="52"/>
        <v>648.75</v>
      </c>
    </row>
    <row r="3361" spans="1:8" x14ac:dyDescent="0.2">
      <c r="A3361" s="2" t="s">
        <v>3451</v>
      </c>
      <c r="B3361" s="2" t="s">
        <v>3333</v>
      </c>
      <c r="C3361" s="2" t="s">
        <v>147</v>
      </c>
      <c r="D3361" s="3">
        <v>2758</v>
      </c>
      <c r="E3361" s="4" t="s">
        <v>53</v>
      </c>
      <c r="F3361" s="5">
        <v>8.2200000000000006</v>
      </c>
      <c r="G3361" s="4" t="s">
        <v>54</v>
      </c>
      <c r="H3361" s="6">
        <f t="shared" si="52"/>
        <v>22670.760000000002</v>
      </c>
    </row>
    <row r="3362" spans="1:8" x14ac:dyDescent="0.2">
      <c r="A3362" s="2" t="s">
        <v>3452</v>
      </c>
      <c r="B3362" s="2" t="s">
        <v>3333</v>
      </c>
      <c r="C3362" s="2" t="s">
        <v>71</v>
      </c>
      <c r="D3362" s="3">
        <v>1343</v>
      </c>
      <c r="E3362" s="4" t="s">
        <v>72</v>
      </c>
      <c r="F3362" s="5">
        <v>2724.94</v>
      </c>
      <c r="G3362" s="4" t="s">
        <v>73</v>
      </c>
      <c r="H3362" s="6">
        <f t="shared" si="52"/>
        <v>3659594.42</v>
      </c>
    </row>
    <row r="3363" spans="1:8" x14ac:dyDescent="0.2">
      <c r="A3363" s="2" t="s">
        <v>3453</v>
      </c>
      <c r="B3363" s="2" t="s">
        <v>3333</v>
      </c>
      <c r="C3363" s="2" t="s">
        <v>27</v>
      </c>
      <c r="D3363" s="3">
        <v>1745</v>
      </c>
      <c r="E3363" s="4" t="s">
        <v>20</v>
      </c>
      <c r="F3363" s="5">
        <v>1.92</v>
      </c>
      <c r="G3363" s="4" t="s">
        <v>21</v>
      </c>
      <c r="H3363" s="6">
        <f t="shared" si="52"/>
        <v>3350.4</v>
      </c>
    </row>
    <row r="3364" spans="1:8" x14ac:dyDescent="0.2">
      <c r="A3364" s="2" t="s">
        <v>3454</v>
      </c>
      <c r="B3364" s="2" t="s">
        <v>3333</v>
      </c>
      <c r="C3364" s="2" t="s">
        <v>71</v>
      </c>
      <c r="D3364" s="3">
        <v>1547</v>
      </c>
      <c r="E3364" s="4" t="s">
        <v>72</v>
      </c>
      <c r="F3364" s="5">
        <v>2731.01</v>
      </c>
      <c r="G3364" s="4" t="s">
        <v>73</v>
      </c>
      <c r="H3364" s="6">
        <f t="shared" si="52"/>
        <v>4224872.4700000007</v>
      </c>
    </row>
    <row r="3365" spans="1:8" x14ac:dyDescent="0.2">
      <c r="A3365" s="2" t="s">
        <v>3455</v>
      </c>
      <c r="B3365" s="2" t="s">
        <v>3333</v>
      </c>
      <c r="C3365" s="2" t="s">
        <v>37</v>
      </c>
      <c r="D3365" s="3">
        <v>1978</v>
      </c>
      <c r="E3365" s="4" t="s">
        <v>38</v>
      </c>
      <c r="F3365" s="5">
        <v>2.81</v>
      </c>
      <c r="G3365" s="4" t="s">
        <v>39</v>
      </c>
      <c r="H3365" s="6">
        <f t="shared" si="52"/>
        <v>5558.18</v>
      </c>
    </row>
    <row r="3366" spans="1:8" x14ac:dyDescent="0.2">
      <c r="A3366" s="2" t="s">
        <v>3456</v>
      </c>
      <c r="B3366" s="2" t="s">
        <v>3333</v>
      </c>
      <c r="C3366" s="2" t="s">
        <v>46</v>
      </c>
      <c r="D3366" s="3">
        <v>4636</v>
      </c>
      <c r="E3366" s="4" t="s">
        <v>20</v>
      </c>
      <c r="F3366" s="5">
        <v>2.09</v>
      </c>
      <c r="G3366" s="4" t="s">
        <v>21</v>
      </c>
      <c r="H3366" s="6">
        <f t="shared" si="52"/>
        <v>9689.24</v>
      </c>
    </row>
    <row r="3367" spans="1:8" x14ac:dyDescent="0.2">
      <c r="A3367" s="2" t="s">
        <v>3457</v>
      </c>
      <c r="B3367" s="2" t="s">
        <v>3333</v>
      </c>
      <c r="C3367" s="2" t="s">
        <v>48</v>
      </c>
      <c r="D3367" s="3">
        <v>384</v>
      </c>
      <c r="E3367" s="4" t="s">
        <v>24</v>
      </c>
      <c r="F3367" s="5">
        <v>0.06</v>
      </c>
      <c r="G3367" s="4" t="s">
        <v>25</v>
      </c>
      <c r="H3367" s="6">
        <f t="shared" si="52"/>
        <v>23.04</v>
      </c>
    </row>
    <row r="3368" spans="1:8" x14ac:dyDescent="0.2">
      <c r="A3368" s="2" t="s">
        <v>3458</v>
      </c>
      <c r="B3368" s="2" t="s">
        <v>3333</v>
      </c>
      <c r="C3368" s="2" t="s">
        <v>27</v>
      </c>
      <c r="D3368" s="3">
        <v>2538</v>
      </c>
      <c r="E3368" s="4" t="s">
        <v>20</v>
      </c>
      <c r="F3368" s="5">
        <v>1.21</v>
      </c>
      <c r="G3368" s="4" t="s">
        <v>21</v>
      </c>
      <c r="H3368" s="6">
        <f t="shared" si="52"/>
        <v>3070.98</v>
      </c>
    </row>
    <row r="3369" spans="1:8" x14ac:dyDescent="0.2">
      <c r="A3369" s="2" t="s">
        <v>3459</v>
      </c>
      <c r="B3369" s="2" t="s">
        <v>3333</v>
      </c>
      <c r="C3369" s="2" t="s">
        <v>19</v>
      </c>
      <c r="D3369" s="3">
        <v>2323</v>
      </c>
      <c r="E3369" s="4" t="s">
        <v>20</v>
      </c>
      <c r="F3369" s="5">
        <v>1.68</v>
      </c>
      <c r="G3369" s="4" t="s">
        <v>21</v>
      </c>
      <c r="H3369" s="6">
        <f t="shared" si="52"/>
        <v>3902.64</v>
      </c>
    </row>
    <row r="3370" spans="1:8" x14ac:dyDescent="0.2">
      <c r="A3370" s="2" t="s">
        <v>3460</v>
      </c>
      <c r="B3370" s="2" t="s">
        <v>3333</v>
      </c>
      <c r="C3370" s="2" t="s">
        <v>78</v>
      </c>
      <c r="D3370" s="3">
        <v>1606</v>
      </c>
      <c r="E3370" s="4" t="s">
        <v>38</v>
      </c>
      <c r="F3370" s="5">
        <v>2.0299999999999998</v>
      </c>
      <c r="G3370" s="4" t="s">
        <v>39</v>
      </c>
      <c r="H3370" s="6">
        <f t="shared" si="52"/>
        <v>3260.18</v>
      </c>
    </row>
    <row r="3371" spans="1:8" x14ac:dyDescent="0.2">
      <c r="A3371" s="2" t="s">
        <v>3461</v>
      </c>
      <c r="B3371" s="2" t="s">
        <v>3333</v>
      </c>
      <c r="C3371" s="2" t="s">
        <v>67</v>
      </c>
      <c r="D3371" s="3">
        <v>2925</v>
      </c>
      <c r="E3371" s="4" t="s">
        <v>24</v>
      </c>
      <c r="F3371" s="5">
        <v>0.59</v>
      </c>
      <c r="G3371" s="4" t="s">
        <v>25</v>
      </c>
      <c r="H3371" s="6">
        <f t="shared" si="52"/>
        <v>1725.75</v>
      </c>
    </row>
    <row r="3372" spans="1:8" x14ac:dyDescent="0.2">
      <c r="A3372" s="2" t="s">
        <v>3462</v>
      </c>
      <c r="B3372" s="2" t="s">
        <v>3333</v>
      </c>
      <c r="C3372" s="2" t="s">
        <v>50</v>
      </c>
      <c r="D3372" s="3">
        <v>2724</v>
      </c>
      <c r="E3372" s="4" t="s">
        <v>20</v>
      </c>
      <c r="F3372" s="5">
        <v>0.94</v>
      </c>
      <c r="G3372" s="4" t="s">
        <v>21</v>
      </c>
      <c r="H3372" s="6">
        <f t="shared" si="52"/>
        <v>2560.56</v>
      </c>
    </row>
    <row r="3373" spans="1:8" x14ac:dyDescent="0.2">
      <c r="A3373" s="2" t="s">
        <v>3463</v>
      </c>
      <c r="B3373" s="2" t="s">
        <v>3333</v>
      </c>
      <c r="C3373" s="2" t="s">
        <v>78</v>
      </c>
      <c r="D3373" s="3">
        <v>837</v>
      </c>
      <c r="E3373" s="4" t="s">
        <v>38</v>
      </c>
      <c r="F3373" s="5">
        <v>2.35</v>
      </c>
      <c r="G3373" s="4" t="s">
        <v>39</v>
      </c>
      <c r="H3373" s="6">
        <f t="shared" si="52"/>
        <v>1966.95</v>
      </c>
    </row>
    <row r="3374" spans="1:8" x14ac:dyDescent="0.2">
      <c r="A3374" s="2" t="s">
        <v>3464</v>
      </c>
      <c r="B3374" s="2" t="s">
        <v>3333</v>
      </c>
      <c r="C3374" s="2" t="s">
        <v>89</v>
      </c>
      <c r="D3374" s="3">
        <v>204</v>
      </c>
      <c r="E3374" s="4" t="s">
        <v>30</v>
      </c>
      <c r="F3374" s="5">
        <v>2.5</v>
      </c>
      <c r="G3374" s="4" t="s">
        <v>31</v>
      </c>
      <c r="H3374" s="6">
        <f t="shared" si="52"/>
        <v>510</v>
      </c>
    </row>
    <row r="3375" spans="1:8" x14ac:dyDescent="0.2">
      <c r="A3375" s="2" t="s">
        <v>3465</v>
      </c>
      <c r="B3375" s="2" t="s">
        <v>3333</v>
      </c>
      <c r="C3375" s="2" t="s">
        <v>67</v>
      </c>
      <c r="D3375" s="3">
        <v>3917</v>
      </c>
      <c r="E3375" s="4" t="s">
        <v>24</v>
      </c>
      <c r="F3375" s="5">
        <v>0.48</v>
      </c>
      <c r="G3375" s="4" t="s">
        <v>25</v>
      </c>
      <c r="H3375" s="6">
        <f t="shared" si="52"/>
        <v>1880.1599999999999</v>
      </c>
    </row>
    <row r="3376" spans="1:8" x14ac:dyDescent="0.2">
      <c r="A3376" s="2" t="s">
        <v>3466</v>
      </c>
      <c r="B3376" s="2" t="s">
        <v>3333</v>
      </c>
      <c r="C3376" s="2" t="s">
        <v>37</v>
      </c>
      <c r="D3376" s="3">
        <v>2386</v>
      </c>
      <c r="E3376" s="4" t="s">
        <v>38</v>
      </c>
      <c r="F3376" s="5">
        <v>2.48</v>
      </c>
      <c r="G3376" s="4" t="s">
        <v>39</v>
      </c>
      <c r="H3376" s="6">
        <f t="shared" si="52"/>
        <v>5917.28</v>
      </c>
    </row>
    <row r="3377" spans="1:8" x14ac:dyDescent="0.2">
      <c r="A3377" s="2" t="s">
        <v>3467</v>
      </c>
      <c r="B3377" s="2" t="s">
        <v>3333</v>
      </c>
      <c r="C3377" s="2" t="s">
        <v>23</v>
      </c>
      <c r="D3377" s="3">
        <v>655</v>
      </c>
      <c r="E3377" s="4" t="s">
        <v>24</v>
      </c>
      <c r="F3377" s="5">
        <v>17.309999999999999</v>
      </c>
      <c r="G3377" s="4" t="s">
        <v>25</v>
      </c>
      <c r="H3377" s="6">
        <f t="shared" si="52"/>
        <v>11338.05</v>
      </c>
    </row>
    <row r="3378" spans="1:8" x14ac:dyDescent="0.2">
      <c r="A3378" s="2" t="s">
        <v>3468</v>
      </c>
      <c r="B3378" s="2" t="s">
        <v>3333</v>
      </c>
      <c r="C3378" s="2" t="s">
        <v>27</v>
      </c>
      <c r="D3378" s="3">
        <v>1907</v>
      </c>
      <c r="E3378" s="4" t="s">
        <v>20</v>
      </c>
      <c r="F3378" s="5">
        <v>2.2599999999999998</v>
      </c>
      <c r="G3378" s="4" t="s">
        <v>21</v>
      </c>
      <c r="H3378" s="6">
        <f t="shared" si="52"/>
        <v>4309.82</v>
      </c>
    </row>
    <row r="3379" spans="1:8" x14ac:dyDescent="0.2">
      <c r="A3379" s="2" t="s">
        <v>3469</v>
      </c>
      <c r="B3379" s="2" t="s">
        <v>3333</v>
      </c>
      <c r="C3379" s="2" t="s">
        <v>89</v>
      </c>
      <c r="D3379" s="3">
        <v>1329</v>
      </c>
      <c r="E3379" s="4" t="s">
        <v>30</v>
      </c>
      <c r="F3379" s="5">
        <v>2.99</v>
      </c>
      <c r="G3379" s="4" t="s">
        <v>31</v>
      </c>
      <c r="H3379" s="6">
        <f t="shared" si="52"/>
        <v>3973.7100000000005</v>
      </c>
    </row>
    <row r="3380" spans="1:8" x14ac:dyDescent="0.2">
      <c r="A3380" s="2" t="s">
        <v>3470</v>
      </c>
      <c r="B3380" s="2" t="s">
        <v>3333</v>
      </c>
      <c r="C3380" s="2" t="s">
        <v>78</v>
      </c>
      <c r="D3380" s="3">
        <v>4239</v>
      </c>
      <c r="E3380" s="4" t="s">
        <v>38</v>
      </c>
      <c r="F3380" s="5">
        <v>3.19</v>
      </c>
      <c r="G3380" s="4" t="s">
        <v>39</v>
      </c>
      <c r="H3380" s="6">
        <f t="shared" si="52"/>
        <v>13522.41</v>
      </c>
    </row>
    <row r="3381" spans="1:8" x14ac:dyDescent="0.2">
      <c r="A3381" s="2" t="s">
        <v>3471</v>
      </c>
      <c r="B3381" s="2" t="s">
        <v>3472</v>
      </c>
      <c r="C3381" s="2" t="s">
        <v>147</v>
      </c>
      <c r="D3381" s="3">
        <v>4296</v>
      </c>
      <c r="E3381" s="4" t="s">
        <v>53</v>
      </c>
      <c r="F3381" s="5">
        <v>15.44</v>
      </c>
      <c r="G3381" s="4" t="s">
        <v>54</v>
      </c>
      <c r="H3381" s="6">
        <f t="shared" si="52"/>
        <v>66330.239999999991</v>
      </c>
    </row>
    <row r="3382" spans="1:8" x14ac:dyDescent="0.2">
      <c r="A3382" s="2" t="s">
        <v>3473</v>
      </c>
      <c r="B3382" s="2" t="s">
        <v>3472</v>
      </c>
      <c r="C3382" s="2" t="s">
        <v>57</v>
      </c>
      <c r="D3382" s="3">
        <v>3675</v>
      </c>
      <c r="E3382" s="4" t="s">
        <v>20</v>
      </c>
      <c r="F3382" s="5">
        <v>0.91</v>
      </c>
      <c r="G3382" s="4" t="s">
        <v>21</v>
      </c>
      <c r="H3382" s="6">
        <f t="shared" si="52"/>
        <v>3344.25</v>
      </c>
    </row>
    <row r="3383" spans="1:8" x14ac:dyDescent="0.2">
      <c r="A3383" s="2" t="s">
        <v>3474</v>
      </c>
      <c r="B3383" s="2" t="s">
        <v>3472</v>
      </c>
      <c r="C3383" s="2" t="s">
        <v>57</v>
      </c>
      <c r="D3383" s="3">
        <v>2392</v>
      </c>
      <c r="E3383" s="4" t="s">
        <v>20</v>
      </c>
      <c r="F3383" s="5">
        <v>0.74</v>
      </c>
      <c r="G3383" s="4" t="s">
        <v>21</v>
      </c>
      <c r="H3383" s="6">
        <f t="shared" si="52"/>
        <v>1770.08</v>
      </c>
    </row>
    <row r="3384" spans="1:8" x14ac:dyDescent="0.2">
      <c r="A3384" s="2" t="s">
        <v>3475</v>
      </c>
      <c r="B3384" s="2" t="s">
        <v>3472</v>
      </c>
      <c r="C3384" s="2" t="s">
        <v>52</v>
      </c>
      <c r="D3384" s="3">
        <v>337</v>
      </c>
      <c r="E3384" s="4" t="s">
        <v>53</v>
      </c>
      <c r="F3384" s="5">
        <v>13.45</v>
      </c>
      <c r="G3384" s="4" t="s">
        <v>54</v>
      </c>
      <c r="H3384" s="6">
        <f t="shared" si="52"/>
        <v>4532.6499999999996</v>
      </c>
    </row>
    <row r="3385" spans="1:8" x14ac:dyDescent="0.2">
      <c r="A3385" s="2" t="s">
        <v>3476</v>
      </c>
      <c r="B3385" s="2" t="s">
        <v>3472</v>
      </c>
      <c r="C3385" s="2" t="s">
        <v>67</v>
      </c>
      <c r="D3385" s="3">
        <v>1968</v>
      </c>
      <c r="E3385" s="4" t="s">
        <v>24</v>
      </c>
      <c r="F3385" s="5">
        <v>0.36</v>
      </c>
      <c r="G3385" s="4" t="s">
        <v>25</v>
      </c>
      <c r="H3385" s="6">
        <f t="shared" si="52"/>
        <v>708.48</v>
      </c>
    </row>
    <row r="3386" spans="1:8" x14ac:dyDescent="0.2">
      <c r="A3386" s="2" t="s">
        <v>3477</v>
      </c>
      <c r="B3386" s="2" t="s">
        <v>3472</v>
      </c>
      <c r="C3386" s="2" t="s">
        <v>147</v>
      </c>
      <c r="D3386" s="3">
        <v>4981</v>
      </c>
      <c r="E3386" s="4" t="s">
        <v>53</v>
      </c>
      <c r="F3386" s="5">
        <v>8.6</v>
      </c>
      <c r="G3386" s="4" t="s">
        <v>54</v>
      </c>
      <c r="H3386" s="6">
        <f t="shared" si="52"/>
        <v>42836.6</v>
      </c>
    </row>
    <row r="3387" spans="1:8" x14ac:dyDescent="0.2">
      <c r="A3387" s="2" t="s">
        <v>3478</v>
      </c>
      <c r="B3387" s="2" t="s">
        <v>3472</v>
      </c>
      <c r="C3387" s="2" t="s">
        <v>89</v>
      </c>
      <c r="D3387" s="3">
        <v>4654</v>
      </c>
      <c r="E3387" s="4" t="s">
        <v>30</v>
      </c>
      <c r="F3387" s="5">
        <v>2.5499999999999998</v>
      </c>
      <c r="G3387" s="4" t="s">
        <v>31</v>
      </c>
      <c r="H3387" s="6">
        <f t="shared" si="52"/>
        <v>11867.699999999999</v>
      </c>
    </row>
    <row r="3388" spans="1:8" x14ac:dyDescent="0.2">
      <c r="A3388" s="2" t="s">
        <v>3479</v>
      </c>
      <c r="B3388" s="2" t="s">
        <v>3472</v>
      </c>
      <c r="C3388" s="2" t="s">
        <v>48</v>
      </c>
      <c r="D3388" s="3">
        <v>807</v>
      </c>
      <c r="E3388" s="4" t="s">
        <v>24</v>
      </c>
      <c r="F3388" s="5">
        <v>0.17</v>
      </c>
      <c r="G3388" s="4" t="s">
        <v>25</v>
      </c>
      <c r="H3388" s="6">
        <f t="shared" si="52"/>
        <v>137.19</v>
      </c>
    </row>
    <row r="3389" spans="1:8" x14ac:dyDescent="0.2">
      <c r="A3389" s="2" t="s">
        <v>3480</v>
      </c>
      <c r="B3389" s="2" t="s">
        <v>3472</v>
      </c>
      <c r="C3389" s="2" t="s">
        <v>89</v>
      </c>
      <c r="D3389" s="3">
        <v>2545</v>
      </c>
      <c r="E3389" s="4" t="s">
        <v>30</v>
      </c>
      <c r="F3389" s="5">
        <v>2.46</v>
      </c>
      <c r="G3389" s="4" t="s">
        <v>31</v>
      </c>
      <c r="H3389" s="6">
        <f t="shared" si="52"/>
        <v>6260.7</v>
      </c>
    </row>
    <row r="3390" spans="1:8" x14ac:dyDescent="0.2">
      <c r="A3390" s="2" t="s">
        <v>3481</v>
      </c>
      <c r="B3390" s="2" t="s">
        <v>3472</v>
      </c>
      <c r="C3390" s="2" t="s">
        <v>27</v>
      </c>
      <c r="D3390" s="3">
        <v>4097</v>
      </c>
      <c r="E3390" s="4" t="s">
        <v>20</v>
      </c>
      <c r="F3390" s="5">
        <v>1.31</v>
      </c>
      <c r="G3390" s="4" t="s">
        <v>21</v>
      </c>
      <c r="H3390" s="6">
        <f t="shared" si="52"/>
        <v>5367.0700000000006</v>
      </c>
    </row>
    <row r="3391" spans="1:8" x14ac:dyDescent="0.2">
      <c r="A3391" s="2" t="s">
        <v>3482</v>
      </c>
      <c r="B3391" s="2" t="s">
        <v>3472</v>
      </c>
      <c r="C3391" s="2" t="s">
        <v>57</v>
      </c>
      <c r="D3391" s="3">
        <v>1400</v>
      </c>
      <c r="E3391" s="4" t="s">
        <v>20</v>
      </c>
      <c r="F3391" s="5">
        <v>0.97</v>
      </c>
      <c r="G3391" s="4" t="s">
        <v>21</v>
      </c>
      <c r="H3391" s="6">
        <f t="shared" si="52"/>
        <v>1358</v>
      </c>
    </row>
    <row r="3392" spans="1:8" x14ac:dyDescent="0.2">
      <c r="A3392" s="2" t="s">
        <v>3483</v>
      </c>
      <c r="B3392" s="2" t="s">
        <v>3472</v>
      </c>
      <c r="C3392" s="2" t="s">
        <v>118</v>
      </c>
      <c r="D3392" s="3">
        <v>568</v>
      </c>
      <c r="E3392" s="4" t="s">
        <v>24</v>
      </c>
      <c r="F3392" s="5">
        <v>0.6</v>
      </c>
      <c r="G3392" s="4" t="s">
        <v>25</v>
      </c>
      <c r="H3392" s="6">
        <f t="shared" si="52"/>
        <v>340.8</v>
      </c>
    </row>
    <row r="3393" spans="1:8" x14ac:dyDescent="0.2">
      <c r="A3393" s="2" t="s">
        <v>3484</v>
      </c>
      <c r="B3393" s="2" t="s">
        <v>3472</v>
      </c>
      <c r="C3393" s="2" t="s">
        <v>19</v>
      </c>
      <c r="D3393" s="3">
        <v>2904</v>
      </c>
      <c r="E3393" s="4" t="s">
        <v>20</v>
      </c>
      <c r="F3393" s="5">
        <v>1.1499999999999999</v>
      </c>
      <c r="G3393" s="4" t="s">
        <v>21</v>
      </c>
      <c r="H3393" s="6">
        <f t="shared" si="52"/>
        <v>3339.6</v>
      </c>
    </row>
    <row r="3394" spans="1:8" x14ac:dyDescent="0.2">
      <c r="A3394" s="2" t="s">
        <v>3485</v>
      </c>
      <c r="B3394" s="2" t="s">
        <v>3472</v>
      </c>
      <c r="C3394" s="2" t="s">
        <v>118</v>
      </c>
      <c r="D3394" s="3">
        <v>3784</v>
      </c>
      <c r="E3394" s="4" t="s">
        <v>24</v>
      </c>
      <c r="F3394" s="5">
        <v>0.57999999999999996</v>
      </c>
      <c r="G3394" s="4" t="s">
        <v>25</v>
      </c>
      <c r="H3394" s="6">
        <f t="shared" ref="H3394:H3451" si="53">D3394*F3394</f>
        <v>2194.7199999999998</v>
      </c>
    </row>
    <row r="3395" spans="1:8" x14ac:dyDescent="0.2">
      <c r="A3395" s="2" t="s">
        <v>3486</v>
      </c>
      <c r="B3395" s="2" t="s">
        <v>3472</v>
      </c>
      <c r="C3395" s="2" t="s">
        <v>48</v>
      </c>
      <c r="D3395" s="3">
        <v>2107</v>
      </c>
      <c r="E3395" s="4" t="s">
        <v>24</v>
      </c>
      <c r="F3395" s="5">
        <v>0.16</v>
      </c>
      <c r="G3395" s="4" t="s">
        <v>25</v>
      </c>
      <c r="H3395" s="6">
        <f t="shared" si="53"/>
        <v>337.12</v>
      </c>
    </row>
    <row r="3396" spans="1:8" x14ac:dyDescent="0.2">
      <c r="A3396" s="2" t="s">
        <v>3487</v>
      </c>
      <c r="B3396" s="2" t="s">
        <v>3472</v>
      </c>
      <c r="C3396" s="2" t="s">
        <v>23</v>
      </c>
      <c r="D3396" s="3">
        <v>1160</v>
      </c>
      <c r="E3396" s="4" t="s">
        <v>24</v>
      </c>
      <c r="F3396" s="5">
        <v>17.64</v>
      </c>
      <c r="G3396" s="4" t="s">
        <v>25</v>
      </c>
      <c r="H3396" s="6">
        <f t="shared" si="53"/>
        <v>20462.400000000001</v>
      </c>
    </row>
    <row r="3397" spans="1:8" x14ac:dyDescent="0.2">
      <c r="A3397" s="2" t="s">
        <v>3488</v>
      </c>
      <c r="B3397" s="2" t="s">
        <v>3472</v>
      </c>
      <c r="C3397" s="2" t="s">
        <v>46</v>
      </c>
      <c r="D3397" s="3">
        <v>4009</v>
      </c>
      <c r="E3397" s="4" t="s">
        <v>20</v>
      </c>
      <c r="F3397" s="5">
        <v>2.08</v>
      </c>
      <c r="G3397" s="4" t="s">
        <v>21</v>
      </c>
      <c r="H3397" s="6">
        <f t="shared" si="53"/>
        <v>8338.7200000000012</v>
      </c>
    </row>
    <row r="3398" spans="1:8" x14ac:dyDescent="0.2">
      <c r="A3398" s="2" t="s">
        <v>3489</v>
      </c>
      <c r="B3398" s="2" t="s">
        <v>3472</v>
      </c>
      <c r="C3398" s="2" t="s">
        <v>71</v>
      </c>
      <c r="D3398" s="3">
        <v>3294</v>
      </c>
      <c r="E3398" s="4" t="s">
        <v>72</v>
      </c>
      <c r="F3398" s="5">
        <v>2645.42</v>
      </c>
      <c r="G3398" s="4" t="s">
        <v>73</v>
      </c>
      <c r="H3398" s="6">
        <f t="shared" si="53"/>
        <v>8714013.4800000004</v>
      </c>
    </row>
    <row r="3399" spans="1:8" x14ac:dyDescent="0.2">
      <c r="A3399" s="2" t="s">
        <v>3490</v>
      </c>
      <c r="B3399" s="2" t="s">
        <v>3472</v>
      </c>
      <c r="C3399" s="2" t="s">
        <v>147</v>
      </c>
      <c r="D3399" s="3">
        <v>1066</v>
      </c>
      <c r="E3399" s="4" t="s">
        <v>53</v>
      </c>
      <c r="F3399" s="5">
        <v>11.53</v>
      </c>
      <c r="G3399" s="4" t="s">
        <v>54</v>
      </c>
      <c r="H3399" s="6">
        <f t="shared" si="53"/>
        <v>12290.98</v>
      </c>
    </row>
    <row r="3400" spans="1:8" x14ac:dyDescent="0.2">
      <c r="A3400" s="2" t="s">
        <v>3491</v>
      </c>
      <c r="B3400" s="2" t="s">
        <v>3472</v>
      </c>
      <c r="C3400" s="2" t="s">
        <v>78</v>
      </c>
      <c r="D3400" s="3">
        <v>2579</v>
      </c>
      <c r="E3400" s="4" t="s">
        <v>38</v>
      </c>
      <c r="F3400" s="5">
        <v>2.14</v>
      </c>
      <c r="G3400" s="4" t="s">
        <v>39</v>
      </c>
      <c r="H3400" s="6">
        <f t="shared" si="53"/>
        <v>5519.06</v>
      </c>
    </row>
    <row r="3401" spans="1:8" x14ac:dyDescent="0.2">
      <c r="A3401" s="2" t="s">
        <v>3492</v>
      </c>
      <c r="B3401" s="2" t="s">
        <v>3472</v>
      </c>
      <c r="C3401" s="2" t="s">
        <v>52</v>
      </c>
      <c r="D3401" s="3">
        <v>4154</v>
      </c>
      <c r="E3401" s="4" t="s">
        <v>53</v>
      </c>
      <c r="F3401" s="5">
        <v>11.25</v>
      </c>
      <c r="G3401" s="4" t="s">
        <v>54</v>
      </c>
      <c r="H3401" s="6">
        <f t="shared" si="53"/>
        <v>46732.5</v>
      </c>
    </row>
    <row r="3402" spans="1:8" x14ac:dyDescent="0.2">
      <c r="A3402" s="2" t="s">
        <v>3493</v>
      </c>
      <c r="B3402" s="2" t="s">
        <v>3472</v>
      </c>
      <c r="C3402" s="2" t="s">
        <v>37</v>
      </c>
      <c r="D3402" s="3">
        <v>477</v>
      </c>
      <c r="E3402" s="4" t="s">
        <v>38</v>
      </c>
      <c r="F3402" s="5">
        <v>4.22</v>
      </c>
      <c r="G3402" s="4" t="s">
        <v>39</v>
      </c>
      <c r="H3402" s="6">
        <f t="shared" si="53"/>
        <v>2012.9399999999998</v>
      </c>
    </row>
    <row r="3403" spans="1:8" x14ac:dyDescent="0.2">
      <c r="A3403" s="2" t="s">
        <v>3494</v>
      </c>
      <c r="B3403" s="2" t="s">
        <v>3472</v>
      </c>
      <c r="C3403" s="2" t="s">
        <v>42</v>
      </c>
      <c r="D3403" s="3">
        <v>4604</v>
      </c>
      <c r="E3403" s="4" t="s">
        <v>24</v>
      </c>
      <c r="F3403" s="5">
        <v>3.52</v>
      </c>
      <c r="G3403" s="4" t="s">
        <v>25</v>
      </c>
      <c r="H3403" s="6">
        <f t="shared" si="53"/>
        <v>16206.08</v>
      </c>
    </row>
    <row r="3404" spans="1:8" x14ac:dyDescent="0.2">
      <c r="A3404" s="2" t="s">
        <v>3495</v>
      </c>
      <c r="B3404" s="2" t="s">
        <v>3472</v>
      </c>
      <c r="C3404" s="2" t="s">
        <v>50</v>
      </c>
      <c r="D3404" s="3">
        <v>2391</v>
      </c>
      <c r="E3404" s="4" t="s">
        <v>20</v>
      </c>
      <c r="F3404" s="5">
        <v>0.93</v>
      </c>
      <c r="G3404" s="4" t="s">
        <v>21</v>
      </c>
      <c r="H3404" s="6">
        <f t="shared" si="53"/>
        <v>2223.63</v>
      </c>
    </row>
    <row r="3405" spans="1:8" x14ac:dyDescent="0.2">
      <c r="A3405" s="2" t="s">
        <v>3496</v>
      </c>
      <c r="B3405" s="2" t="s">
        <v>3472</v>
      </c>
      <c r="C3405" s="2" t="s">
        <v>46</v>
      </c>
      <c r="D3405" s="3">
        <v>3280</v>
      </c>
      <c r="E3405" s="4" t="s">
        <v>20</v>
      </c>
      <c r="F3405" s="5">
        <v>3.71</v>
      </c>
      <c r="G3405" s="4" t="s">
        <v>21</v>
      </c>
      <c r="H3405" s="6">
        <f t="shared" si="53"/>
        <v>12168.8</v>
      </c>
    </row>
    <row r="3406" spans="1:8" x14ac:dyDescent="0.2">
      <c r="A3406" s="2" t="s">
        <v>3497</v>
      </c>
      <c r="B3406" s="2" t="s">
        <v>3472</v>
      </c>
      <c r="C3406" s="2" t="s">
        <v>42</v>
      </c>
      <c r="D3406" s="3">
        <v>3190</v>
      </c>
      <c r="E3406" s="4" t="s">
        <v>24</v>
      </c>
      <c r="F3406" s="5">
        <v>6.12</v>
      </c>
      <c r="G3406" s="4" t="s">
        <v>25</v>
      </c>
      <c r="H3406" s="6">
        <f t="shared" si="53"/>
        <v>19522.8</v>
      </c>
    </row>
    <row r="3407" spans="1:8" x14ac:dyDescent="0.2">
      <c r="A3407" s="2" t="s">
        <v>3498</v>
      </c>
      <c r="B3407" s="2" t="s">
        <v>3472</v>
      </c>
      <c r="C3407" s="2" t="s">
        <v>27</v>
      </c>
      <c r="D3407" s="3">
        <v>2868</v>
      </c>
      <c r="E3407" s="4" t="s">
        <v>20</v>
      </c>
      <c r="F3407" s="5">
        <v>1.76</v>
      </c>
      <c r="G3407" s="4" t="s">
        <v>21</v>
      </c>
      <c r="H3407" s="6">
        <f t="shared" si="53"/>
        <v>5047.68</v>
      </c>
    </row>
    <row r="3408" spans="1:8" x14ac:dyDescent="0.2">
      <c r="A3408" s="2" t="s">
        <v>3499</v>
      </c>
      <c r="B3408" s="2" t="s">
        <v>3472</v>
      </c>
      <c r="C3408" s="2" t="s">
        <v>29</v>
      </c>
      <c r="D3408" s="3">
        <v>3818</v>
      </c>
      <c r="E3408" s="4" t="s">
        <v>30</v>
      </c>
      <c r="F3408" s="5">
        <v>1.1299999999999999</v>
      </c>
      <c r="G3408" s="4" t="s">
        <v>31</v>
      </c>
      <c r="H3408" s="6">
        <f t="shared" si="53"/>
        <v>4314.3399999999992</v>
      </c>
    </row>
    <row r="3409" spans="1:8" x14ac:dyDescent="0.2">
      <c r="A3409" s="2" t="s">
        <v>3500</v>
      </c>
      <c r="B3409" s="2" t="s">
        <v>3472</v>
      </c>
      <c r="C3409" s="2" t="s">
        <v>118</v>
      </c>
      <c r="D3409" s="3">
        <v>897</v>
      </c>
      <c r="E3409" s="4" t="s">
        <v>24</v>
      </c>
      <c r="F3409" s="5">
        <v>1.04</v>
      </c>
      <c r="G3409" s="4" t="s">
        <v>25</v>
      </c>
      <c r="H3409" s="6">
        <f t="shared" si="53"/>
        <v>932.88</v>
      </c>
    </row>
    <row r="3410" spans="1:8" x14ac:dyDescent="0.2">
      <c r="A3410" s="2" t="s">
        <v>3501</v>
      </c>
      <c r="B3410" s="2" t="s">
        <v>3472</v>
      </c>
      <c r="C3410" s="2" t="s">
        <v>67</v>
      </c>
      <c r="D3410" s="3">
        <v>3558</v>
      </c>
      <c r="E3410" s="4" t="s">
        <v>24</v>
      </c>
      <c r="F3410" s="5">
        <v>0.36</v>
      </c>
      <c r="G3410" s="4" t="s">
        <v>25</v>
      </c>
      <c r="H3410" s="6">
        <f t="shared" si="53"/>
        <v>1280.8799999999999</v>
      </c>
    </row>
    <row r="3411" spans="1:8" x14ac:dyDescent="0.2">
      <c r="A3411" s="2" t="s">
        <v>3502</v>
      </c>
      <c r="B3411" s="2" t="s">
        <v>3472</v>
      </c>
      <c r="C3411" s="2" t="s">
        <v>57</v>
      </c>
      <c r="D3411" s="3">
        <v>538</v>
      </c>
      <c r="E3411" s="4" t="s">
        <v>20</v>
      </c>
      <c r="F3411" s="5">
        <v>0.73</v>
      </c>
      <c r="G3411" s="4" t="s">
        <v>21</v>
      </c>
      <c r="H3411" s="6">
        <f t="shared" si="53"/>
        <v>392.74</v>
      </c>
    </row>
    <row r="3412" spans="1:8" x14ac:dyDescent="0.2">
      <c r="A3412" s="2" t="s">
        <v>3503</v>
      </c>
      <c r="B3412" s="2" t="s">
        <v>3472</v>
      </c>
      <c r="C3412" s="2" t="s">
        <v>147</v>
      </c>
      <c r="D3412" s="3">
        <v>3993</v>
      </c>
      <c r="E3412" s="4" t="s">
        <v>53</v>
      </c>
      <c r="F3412" s="5">
        <v>9.6999999999999993</v>
      </c>
      <c r="G3412" s="4" t="s">
        <v>54</v>
      </c>
      <c r="H3412" s="6">
        <f t="shared" si="53"/>
        <v>38732.1</v>
      </c>
    </row>
    <row r="3413" spans="1:8" x14ac:dyDescent="0.2">
      <c r="A3413" s="2" t="s">
        <v>3504</v>
      </c>
      <c r="B3413" s="2" t="s">
        <v>3472</v>
      </c>
      <c r="C3413" s="2" t="s">
        <v>48</v>
      </c>
      <c r="D3413" s="3">
        <v>946</v>
      </c>
      <c r="E3413" s="4" t="s">
        <v>24</v>
      </c>
      <c r="F3413" s="5">
        <v>0.09</v>
      </c>
      <c r="G3413" s="4" t="s">
        <v>25</v>
      </c>
      <c r="H3413" s="6">
        <f t="shared" si="53"/>
        <v>85.14</v>
      </c>
    </row>
    <row r="3414" spans="1:8" x14ac:dyDescent="0.2">
      <c r="A3414" s="2" t="s">
        <v>3505</v>
      </c>
      <c r="B3414" s="2" t="s">
        <v>3472</v>
      </c>
      <c r="C3414" s="2" t="s">
        <v>37</v>
      </c>
      <c r="D3414" s="3">
        <v>4475</v>
      </c>
      <c r="E3414" s="4" t="s">
        <v>38</v>
      </c>
      <c r="F3414" s="5">
        <v>2.4700000000000002</v>
      </c>
      <c r="G3414" s="4" t="s">
        <v>39</v>
      </c>
      <c r="H3414" s="6">
        <f t="shared" si="53"/>
        <v>11053.25</v>
      </c>
    </row>
    <row r="3415" spans="1:8" x14ac:dyDescent="0.2">
      <c r="A3415" s="2" t="s">
        <v>3506</v>
      </c>
      <c r="B3415" s="2" t="s">
        <v>3472</v>
      </c>
      <c r="C3415" s="2" t="s">
        <v>48</v>
      </c>
      <c r="D3415" s="3">
        <v>1202</v>
      </c>
      <c r="E3415" s="4" t="s">
        <v>24</v>
      </c>
      <c r="F3415" s="5">
        <v>0.15</v>
      </c>
      <c r="G3415" s="4" t="s">
        <v>25</v>
      </c>
      <c r="H3415" s="6">
        <f t="shared" si="53"/>
        <v>180.29999999999998</v>
      </c>
    </row>
    <row r="3416" spans="1:8" x14ac:dyDescent="0.2">
      <c r="A3416" s="2" t="s">
        <v>3507</v>
      </c>
      <c r="B3416" s="2" t="s">
        <v>3472</v>
      </c>
      <c r="C3416" s="2" t="s">
        <v>57</v>
      </c>
      <c r="D3416" s="3">
        <v>4664</v>
      </c>
      <c r="E3416" s="4" t="s">
        <v>20</v>
      </c>
      <c r="F3416" s="5">
        <v>0.61</v>
      </c>
      <c r="G3416" s="4" t="s">
        <v>21</v>
      </c>
      <c r="H3416" s="6">
        <f t="shared" si="53"/>
        <v>2845.04</v>
      </c>
    </row>
    <row r="3417" spans="1:8" x14ac:dyDescent="0.2">
      <c r="A3417" s="2" t="s">
        <v>3508</v>
      </c>
      <c r="B3417" s="2" t="s">
        <v>3472</v>
      </c>
      <c r="C3417" s="2" t="s">
        <v>147</v>
      </c>
      <c r="D3417" s="3">
        <v>3125</v>
      </c>
      <c r="E3417" s="4" t="s">
        <v>53</v>
      </c>
      <c r="F3417" s="5">
        <v>8.5</v>
      </c>
      <c r="G3417" s="4" t="s">
        <v>54</v>
      </c>
      <c r="H3417" s="6">
        <f t="shared" si="53"/>
        <v>26562.5</v>
      </c>
    </row>
    <row r="3418" spans="1:8" x14ac:dyDescent="0.2">
      <c r="A3418" s="2" t="s">
        <v>3509</v>
      </c>
      <c r="B3418" s="2" t="s">
        <v>3472</v>
      </c>
      <c r="C3418" s="2" t="s">
        <v>19</v>
      </c>
      <c r="D3418" s="3">
        <v>3533</v>
      </c>
      <c r="E3418" s="4" t="s">
        <v>20</v>
      </c>
      <c r="F3418" s="5">
        <v>1.69</v>
      </c>
      <c r="G3418" s="4" t="s">
        <v>21</v>
      </c>
      <c r="H3418" s="6">
        <f t="shared" si="53"/>
        <v>5970.7699999999995</v>
      </c>
    </row>
    <row r="3419" spans="1:8" x14ac:dyDescent="0.2">
      <c r="A3419" s="2" t="s">
        <v>3510</v>
      </c>
      <c r="B3419" s="2" t="s">
        <v>3472</v>
      </c>
      <c r="C3419" s="2" t="s">
        <v>44</v>
      </c>
      <c r="D3419" s="3">
        <v>453</v>
      </c>
      <c r="E3419" s="4" t="s">
        <v>24</v>
      </c>
      <c r="F3419" s="5">
        <v>1.05</v>
      </c>
      <c r="G3419" s="4" t="s">
        <v>25</v>
      </c>
      <c r="H3419" s="6">
        <f t="shared" si="53"/>
        <v>475.65000000000003</v>
      </c>
    </row>
    <row r="3420" spans="1:8" x14ac:dyDescent="0.2">
      <c r="A3420" s="2" t="s">
        <v>3511</v>
      </c>
      <c r="B3420" s="2" t="s">
        <v>3472</v>
      </c>
      <c r="C3420" s="2" t="s">
        <v>33</v>
      </c>
      <c r="D3420" s="3">
        <v>3474</v>
      </c>
      <c r="E3420" s="4" t="s">
        <v>34</v>
      </c>
      <c r="F3420" s="5">
        <v>4.17</v>
      </c>
      <c r="G3420" s="4" t="s">
        <v>35</v>
      </c>
      <c r="H3420" s="6">
        <f t="shared" si="53"/>
        <v>14486.58</v>
      </c>
    </row>
    <row r="3421" spans="1:8" x14ac:dyDescent="0.2">
      <c r="A3421" s="2" t="s">
        <v>3512</v>
      </c>
      <c r="B3421" s="2" t="s">
        <v>3472</v>
      </c>
      <c r="C3421" s="2" t="s">
        <v>118</v>
      </c>
      <c r="D3421" s="3">
        <v>694</v>
      </c>
      <c r="E3421" s="4" t="s">
        <v>24</v>
      </c>
      <c r="F3421" s="5">
        <v>0.5</v>
      </c>
      <c r="G3421" s="4" t="s">
        <v>25</v>
      </c>
      <c r="H3421" s="6">
        <f t="shared" si="53"/>
        <v>347</v>
      </c>
    </row>
    <row r="3422" spans="1:8" x14ac:dyDescent="0.2">
      <c r="A3422" s="2" t="s">
        <v>3513</v>
      </c>
      <c r="B3422" s="2" t="s">
        <v>3472</v>
      </c>
      <c r="C3422" s="2" t="s">
        <v>86</v>
      </c>
      <c r="D3422" s="3">
        <v>3328</v>
      </c>
      <c r="E3422" s="4" t="s">
        <v>72</v>
      </c>
      <c r="F3422" s="5">
        <v>7914.39</v>
      </c>
      <c r="G3422" s="4" t="s">
        <v>73</v>
      </c>
      <c r="H3422" s="6">
        <f t="shared" si="53"/>
        <v>26339089.920000002</v>
      </c>
    </row>
    <row r="3423" spans="1:8" x14ac:dyDescent="0.2">
      <c r="A3423" s="2" t="s">
        <v>3514</v>
      </c>
      <c r="B3423" s="2" t="s">
        <v>3472</v>
      </c>
      <c r="C3423" s="2" t="s">
        <v>23</v>
      </c>
      <c r="D3423" s="3">
        <v>3448</v>
      </c>
      <c r="E3423" s="4" t="s">
        <v>24</v>
      </c>
      <c r="F3423" s="5">
        <v>15.15</v>
      </c>
      <c r="G3423" s="4" t="s">
        <v>25</v>
      </c>
      <c r="H3423" s="6">
        <f t="shared" si="53"/>
        <v>52237.200000000004</v>
      </c>
    </row>
    <row r="3424" spans="1:8" x14ac:dyDescent="0.2">
      <c r="A3424" s="2" t="s">
        <v>3515</v>
      </c>
      <c r="B3424" s="2" t="s">
        <v>3472</v>
      </c>
      <c r="C3424" s="2" t="s">
        <v>86</v>
      </c>
      <c r="D3424" s="3">
        <v>1517</v>
      </c>
      <c r="E3424" s="4" t="s">
        <v>72</v>
      </c>
      <c r="F3424" s="5">
        <v>8962.77</v>
      </c>
      <c r="G3424" s="4" t="s">
        <v>73</v>
      </c>
      <c r="H3424" s="6">
        <f t="shared" si="53"/>
        <v>13596522.09</v>
      </c>
    </row>
    <row r="3425" spans="1:8" x14ac:dyDescent="0.2">
      <c r="A3425" s="2" t="s">
        <v>3516</v>
      </c>
      <c r="B3425" s="2" t="s">
        <v>3472</v>
      </c>
      <c r="C3425" s="2" t="s">
        <v>27</v>
      </c>
      <c r="D3425" s="3">
        <v>3520</v>
      </c>
      <c r="E3425" s="4" t="s">
        <v>20</v>
      </c>
      <c r="F3425" s="5">
        <v>1.61</v>
      </c>
      <c r="G3425" s="4" t="s">
        <v>21</v>
      </c>
      <c r="H3425" s="6">
        <f t="shared" si="53"/>
        <v>5667.2000000000007</v>
      </c>
    </row>
    <row r="3426" spans="1:8" x14ac:dyDescent="0.2">
      <c r="A3426" s="2" t="s">
        <v>3517</v>
      </c>
      <c r="B3426" s="2" t="s">
        <v>3472</v>
      </c>
      <c r="C3426" s="2" t="s">
        <v>71</v>
      </c>
      <c r="D3426" s="3">
        <v>1357</v>
      </c>
      <c r="E3426" s="4" t="s">
        <v>72</v>
      </c>
      <c r="F3426" s="5">
        <v>2519.16</v>
      </c>
      <c r="G3426" s="4" t="s">
        <v>73</v>
      </c>
      <c r="H3426" s="6">
        <f t="shared" si="53"/>
        <v>3418500.1199999996</v>
      </c>
    </row>
    <row r="3427" spans="1:8" x14ac:dyDescent="0.2">
      <c r="A3427" s="2" t="s">
        <v>3518</v>
      </c>
      <c r="B3427" s="2" t="s">
        <v>3472</v>
      </c>
      <c r="C3427" s="2" t="s">
        <v>52</v>
      </c>
      <c r="D3427" s="3">
        <v>3955</v>
      </c>
      <c r="E3427" s="4" t="s">
        <v>53</v>
      </c>
      <c r="F3427" s="5">
        <v>11.38</v>
      </c>
      <c r="G3427" s="4" t="s">
        <v>54</v>
      </c>
      <c r="H3427" s="6">
        <f t="shared" si="53"/>
        <v>45007.9</v>
      </c>
    </row>
    <row r="3428" spans="1:8" x14ac:dyDescent="0.2">
      <c r="A3428" s="2" t="s">
        <v>3519</v>
      </c>
      <c r="B3428" s="2" t="s">
        <v>3472</v>
      </c>
      <c r="C3428" s="2" t="s">
        <v>118</v>
      </c>
      <c r="D3428" s="3">
        <v>3588</v>
      </c>
      <c r="E3428" s="4" t="s">
        <v>24</v>
      </c>
      <c r="F3428" s="5">
        <v>0.65</v>
      </c>
      <c r="G3428" s="4" t="s">
        <v>25</v>
      </c>
      <c r="H3428" s="6">
        <f t="shared" si="53"/>
        <v>2332.2000000000003</v>
      </c>
    </row>
    <row r="3429" spans="1:8" x14ac:dyDescent="0.2">
      <c r="A3429" s="2" t="s">
        <v>3520</v>
      </c>
      <c r="B3429" s="2" t="s">
        <v>3472</v>
      </c>
      <c r="C3429" s="2" t="s">
        <v>46</v>
      </c>
      <c r="D3429" s="3">
        <v>3197</v>
      </c>
      <c r="E3429" s="4" t="s">
        <v>20</v>
      </c>
      <c r="F3429" s="5">
        <v>3.65</v>
      </c>
      <c r="G3429" s="4" t="s">
        <v>21</v>
      </c>
      <c r="H3429" s="6">
        <f t="shared" si="53"/>
        <v>11669.05</v>
      </c>
    </row>
    <row r="3430" spans="1:8" x14ac:dyDescent="0.2">
      <c r="A3430" s="2" t="s">
        <v>3521</v>
      </c>
      <c r="B3430" s="2" t="s">
        <v>3472</v>
      </c>
      <c r="C3430" s="2" t="s">
        <v>29</v>
      </c>
      <c r="D3430" s="3">
        <v>4901</v>
      </c>
      <c r="E3430" s="4" t="s">
        <v>30</v>
      </c>
      <c r="F3430" s="5">
        <v>1.24</v>
      </c>
      <c r="G3430" s="4" t="s">
        <v>31</v>
      </c>
      <c r="H3430" s="6">
        <f t="shared" si="53"/>
        <v>6077.24</v>
      </c>
    </row>
    <row r="3431" spans="1:8" x14ac:dyDescent="0.2">
      <c r="A3431" s="2" t="s">
        <v>3522</v>
      </c>
      <c r="B3431" s="2" t="s">
        <v>3472</v>
      </c>
      <c r="C3431" s="2" t="s">
        <v>46</v>
      </c>
      <c r="D3431" s="3">
        <v>1194</v>
      </c>
      <c r="E3431" s="4" t="s">
        <v>20</v>
      </c>
      <c r="F3431" s="5">
        <v>2.65</v>
      </c>
      <c r="G3431" s="4" t="s">
        <v>21</v>
      </c>
      <c r="H3431" s="6">
        <f t="shared" si="53"/>
        <v>3164.1</v>
      </c>
    </row>
    <row r="3432" spans="1:8" x14ac:dyDescent="0.2">
      <c r="A3432" s="2" t="s">
        <v>3523</v>
      </c>
      <c r="B3432" s="2" t="s">
        <v>3472</v>
      </c>
      <c r="C3432" s="2" t="s">
        <v>57</v>
      </c>
      <c r="D3432" s="3">
        <v>126</v>
      </c>
      <c r="E3432" s="4" t="s">
        <v>20</v>
      </c>
      <c r="F3432" s="5">
        <v>0.66</v>
      </c>
      <c r="G3432" s="4" t="s">
        <v>21</v>
      </c>
      <c r="H3432" s="6">
        <f t="shared" si="53"/>
        <v>83.160000000000011</v>
      </c>
    </row>
    <row r="3433" spans="1:8" x14ac:dyDescent="0.2">
      <c r="A3433" s="2" t="s">
        <v>3524</v>
      </c>
      <c r="B3433" s="2" t="s">
        <v>3472</v>
      </c>
      <c r="C3433" s="2" t="s">
        <v>23</v>
      </c>
      <c r="D3433" s="3">
        <v>1218</v>
      </c>
      <c r="E3433" s="4" t="s">
        <v>24</v>
      </c>
      <c r="F3433" s="5">
        <v>15</v>
      </c>
      <c r="G3433" s="4" t="s">
        <v>25</v>
      </c>
      <c r="H3433" s="6">
        <f t="shared" si="53"/>
        <v>18270</v>
      </c>
    </row>
    <row r="3434" spans="1:8" x14ac:dyDescent="0.2">
      <c r="A3434" s="2" t="s">
        <v>3525</v>
      </c>
      <c r="B3434" s="2" t="s">
        <v>3472</v>
      </c>
      <c r="C3434" s="2" t="s">
        <v>57</v>
      </c>
      <c r="D3434" s="3">
        <v>940</v>
      </c>
      <c r="E3434" s="4" t="s">
        <v>20</v>
      </c>
      <c r="F3434" s="5">
        <v>0.92</v>
      </c>
      <c r="G3434" s="4" t="s">
        <v>21</v>
      </c>
      <c r="H3434" s="6">
        <f t="shared" si="53"/>
        <v>864.80000000000007</v>
      </c>
    </row>
    <row r="3435" spans="1:8" x14ac:dyDescent="0.2">
      <c r="A3435" s="2" t="s">
        <v>3526</v>
      </c>
      <c r="B3435" s="2" t="s">
        <v>3472</v>
      </c>
      <c r="C3435" s="2" t="s">
        <v>52</v>
      </c>
      <c r="D3435" s="3">
        <v>2162</v>
      </c>
      <c r="E3435" s="4" t="s">
        <v>53</v>
      </c>
      <c r="F3435" s="5">
        <v>11.6</v>
      </c>
      <c r="G3435" s="4" t="s">
        <v>54</v>
      </c>
      <c r="H3435" s="6">
        <f t="shared" si="53"/>
        <v>25079.200000000001</v>
      </c>
    </row>
    <row r="3436" spans="1:8" x14ac:dyDescent="0.2">
      <c r="A3436" s="2" t="s">
        <v>3527</v>
      </c>
      <c r="B3436" s="2" t="s">
        <v>3472</v>
      </c>
      <c r="C3436" s="2" t="s">
        <v>33</v>
      </c>
      <c r="D3436" s="3">
        <v>3700</v>
      </c>
      <c r="E3436" s="4" t="s">
        <v>34</v>
      </c>
      <c r="F3436" s="5">
        <v>5.86</v>
      </c>
      <c r="G3436" s="4" t="s">
        <v>35</v>
      </c>
      <c r="H3436" s="6">
        <f t="shared" si="53"/>
        <v>21682</v>
      </c>
    </row>
    <row r="3437" spans="1:8" x14ac:dyDescent="0.2">
      <c r="A3437" s="2" t="s">
        <v>3528</v>
      </c>
      <c r="B3437" s="2" t="s">
        <v>3472</v>
      </c>
      <c r="C3437" s="2" t="s">
        <v>89</v>
      </c>
      <c r="D3437" s="3">
        <v>3690</v>
      </c>
      <c r="E3437" s="4" t="s">
        <v>30</v>
      </c>
      <c r="F3437" s="5">
        <v>2.57</v>
      </c>
      <c r="G3437" s="4" t="s">
        <v>31</v>
      </c>
      <c r="H3437" s="6">
        <f t="shared" si="53"/>
        <v>9483.2999999999993</v>
      </c>
    </row>
    <row r="3438" spans="1:8" x14ac:dyDescent="0.2">
      <c r="A3438" s="2" t="s">
        <v>3529</v>
      </c>
      <c r="B3438" s="2" t="s">
        <v>3472</v>
      </c>
      <c r="C3438" s="2" t="s">
        <v>46</v>
      </c>
      <c r="D3438" s="3">
        <v>808</v>
      </c>
      <c r="E3438" s="4" t="s">
        <v>20</v>
      </c>
      <c r="F3438" s="5">
        <v>2.0699999999999998</v>
      </c>
      <c r="G3438" s="4" t="s">
        <v>21</v>
      </c>
      <c r="H3438" s="6">
        <f t="shared" si="53"/>
        <v>1672.56</v>
      </c>
    </row>
    <row r="3439" spans="1:8" x14ac:dyDescent="0.2">
      <c r="A3439" s="2" t="s">
        <v>3530</v>
      </c>
      <c r="B3439" s="2" t="s">
        <v>3472</v>
      </c>
      <c r="C3439" s="2" t="s">
        <v>44</v>
      </c>
      <c r="D3439" s="3">
        <v>3452</v>
      </c>
      <c r="E3439" s="4" t="s">
        <v>24</v>
      </c>
      <c r="F3439" s="5">
        <v>1.39</v>
      </c>
      <c r="G3439" s="4" t="s">
        <v>25</v>
      </c>
      <c r="H3439" s="6">
        <f t="shared" si="53"/>
        <v>4798.28</v>
      </c>
    </row>
    <row r="3440" spans="1:8" x14ac:dyDescent="0.2">
      <c r="A3440" s="2" t="s">
        <v>3531</v>
      </c>
      <c r="B3440" s="2" t="s">
        <v>3472</v>
      </c>
      <c r="C3440" s="2" t="s">
        <v>118</v>
      </c>
      <c r="D3440" s="3">
        <v>4932</v>
      </c>
      <c r="E3440" s="4" t="s">
        <v>24</v>
      </c>
      <c r="F3440" s="5">
        <v>0.66</v>
      </c>
      <c r="G3440" s="4" t="s">
        <v>25</v>
      </c>
      <c r="H3440" s="6">
        <f t="shared" si="53"/>
        <v>3255.1200000000003</v>
      </c>
    </row>
    <row r="3441" spans="1:8" x14ac:dyDescent="0.2">
      <c r="A3441" s="2" t="s">
        <v>3532</v>
      </c>
      <c r="B3441" s="2" t="s">
        <v>3472</v>
      </c>
      <c r="C3441" s="2" t="s">
        <v>19</v>
      </c>
      <c r="D3441" s="3">
        <v>1728</v>
      </c>
      <c r="E3441" s="4" t="s">
        <v>20</v>
      </c>
      <c r="F3441" s="5">
        <v>1.67</v>
      </c>
      <c r="G3441" s="4" t="s">
        <v>21</v>
      </c>
      <c r="H3441" s="6">
        <f t="shared" si="53"/>
        <v>2885.7599999999998</v>
      </c>
    </row>
    <row r="3442" spans="1:8" x14ac:dyDescent="0.2">
      <c r="A3442" s="2" t="s">
        <v>3533</v>
      </c>
      <c r="B3442" s="2" t="s">
        <v>3472</v>
      </c>
      <c r="C3442" s="2" t="s">
        <v>46</v>
      </c>
      <c r="D3442" s="3">
        <v>127</v>
      </c>
      <c r="E3442" s="4" t="s">
        <v>20</v>
      </c>
      <c r="F3442" s="5">
        <v>2.74</v>
      </c>
      <c r="G3442" s="4" t="s">
        <v>21</v>
      </c>
      <c r="H3442" s="6">
        <f t="shared" si="53"/>
        <v>347.98</v>
      </c>
    </row>
    <row r="3443" spans="1:8" x14ac:dyDescent="0.2">
      <c r="A3443" s="2" t="s">
        <v>3534</v>
      </c>
      <c r="B3443" s="2" t="s">
        <v>3472</v>
      </c>
      <c r="C3443" s="2" t="s">
        <v>19</v>
      </c>
      <c r="D3443" s="3">
        <v>142</v>
      </c>
      <c r="E3443" s="4" t="s">
        <v>20</v>
      </c>
      <c r="F3443" s="5">
        <v>1.28</v>
      </c>
      <c r="G3443" s="4" t="s">
        <v>21</v>
      </c>
      <c r="H3443" s="6">
        <f t="shared" si="53"/>
        <v>181.76</v>
      </c>
    </row>
    <row r="3444" spans="1:8" x14ac:dyDescent="0.2">
      <c r="A3444" s="2" t="s">
        <v>3535</v>
      </c>
      <c r="B3444" s="2" t="s">
        <v>3472</v>
      </c>
      <c r="C3444" s="2" t="s">
        <v>71</v>
      </c>
      <c r="D3444" s="3">
        <v>4123</v>
      </c>
      <c r="E3444" s="4" t="s">
        <v>72</v>
      </c>
      <c r="F3444" s="5">
        <v>2891.43</v>
      </c>
      <c r="G3444" s="4" t="s">
        <v>73</v>
      </c>
      <c r="H3444" s="6">
        <f t="shared" si="53"/>
        <v>11921365.889999999</v>
      </c>
    </row>
    <row r="3445" spans="1:8" x14ac:dyDescent="0.2">
      <c r="A3445" s="2" t="s">
        <v>3536</v>
      </c>
      <c r="B3445" s="2" t="s">
        <v>3472</v>
      </c>
      <c r="C3445" s="2" t="s">
        <v>50</v>
      </c>
      <c r="D3445" s="3">
        <v>4098</v>
      </c>
      <c r="E3445" s="4" t="s">
        <v>20</v>
      </c>
      <c r="F3445" s="5">
        <v>1.0900000000000001</v>
      </c>
      <c r="G3445" s="4" t="s">
        <v>21</v>
      </c>
      <c r="H3445" s="6">
        <f t="shared" si="53"/>
        <v>4466.8200000000006</v>
      </c>
    </row>
    <row r="3446" spans="1:8" x14ac:dyDescent="0.2">
      <c r="A3446" s="2" t="s">
        <v>3537</v>
      </c>
      <c r="B3446" s="2" t="s">
        <v>3472</v>
      </c>
      <c r="C3446" s="2" t="s">
        <v>23</v>
      </c>
      <c r="D3446" s="3">
        <v>3401</v>
      </c>
      <c r="E3446" s="4" t="s">
        <v>24</v>
      </c>
      <c r="F3446" s="5">
        <v>14.46</v>
      </c>
      <c r="G3446" s="4" t="s">
        <v>25</v>
      </c>
      <c r="H3446" s="6">
        <f t="shared" si="53"/>
        <v>49178.460000000006</v>
      </c>
    </row>
    <row r="3447" spans="1:8" x14ac:dyDescent="0.2">
      <c r="A3447" s="2" t="s">
        <v>3538</v>
      </c>
      <c r="B3447" s="2" t="s">
        <v>3472</v>
      </c>
      <c r="C3447" s="2" t="s">
        <v>19</v>
      </c>
      <c r="D3447" s="3">
        <v>4453</v>
      </c>
      <c r="E3447" s="4" t="s">
        <v>20</v>
      </c>
      <c r="F3447" s="5">
        <v>1.36</v>
      </c>
      <c r="G3447" s="4" t="s">
        <v>21</v>
      </c>
      <c r="H3447" s="6">
        <f t="shared" si="53"/>
        <v>6056.0800000000008</v>
      </c>
    </row>
    <row r="3448" spans="1:8" x14ac:dyDescent="0.2">
      <c r="A3448" s="2" t="s">
        <v>3539</v>
      </c>
      <c r="B3448" s="2" t="s">
        <v>3472</v>
      </c>
      <c r="C3448" s="2" t="s">
        <v>57</v>
      </c>
      <c r="D3448" s="3">
        <v>938</v>
      </c>
      <c r="E3448" s="4" t="s">
        <v>20</v>
      </c>
      <c r="F3448" s="5">
        <v>0.97</v>
      </c>
      <c r="G3448" s="4" t="s">
        <v>21</v>
      </c>
      <c r="H3448" s="6">
        <f t="shared" si="53"/>
        <v>909.86</v>
      </c>
    </row>
    <row r="3449" spans="1:8" x14ac:dyDescent="0.2">
      <c r="A3449" s="2" t="s">
        <v>3540</v>
      </c>
      <c r="B3449" s="2" t="s">
        <v>3472</v>
      </c>
      <c r="C3449" s="2" t="s">
        <v>23</v>
      </c>
      <c r="D3449" s="3">
        <v>3519</v>
      </c>
      <c r="E3449" s="4" t="s">
        <v>24</v>
      </c>
      <c r="F3449" s="5">
        <v>14.24</v>
      </c>
      <c r="G3449" s="4" t="s">
        <v>25</v>
      </c>
      <c r="H3449" s="6">
        <f t="shared" si="53"/>
        <v>50110.559999999998</v>
      </c>
    </row>
    <row r="3450" spans="1:8" x14ac:dyDescent="0.2">
      <c r="A3450" s="2" t="s">
        <v>3541</v>
      </c>
      <c r="B3450" s="2" t="s">
        <v>3472</v>
      </c>
      <c r="C3450" s="2" t="s">
        <v>29</v>
      </c>
      <c r="D3450" s="3">
        <v>4883</v>
      </c>
      <c r="E3450" s="4" t="s">
        <v>30</v>
      </c>
      <c r="F3450" s="5">
        <v>1.2</v>
      </c>
      <c r="G3450" s="4" t="s">
        <v>31</v>
      </c>
      <c r="H3450" s="6">
        <f t="shared" si="53"/>
        <v>5859.5999999999995</v>
      </c>
    </row>
    <row r="3451" spans="1:8" x14ac:dyDescent="0.2">
      <c r="A3451" s="2" t="s">
        <v>3542</v>
      </c>
      <c r="B3451" s="2" t="s">
        <v>3472</v>
      </c>
      <c r="C3451" s="2" t="s">
        <v>52</v>
      </c>
      <c r="D3451" s="3">
        <v>3135</v>
      </c>
      <c r="E3451" s="4" t="s">
        <v>53</v>
      </c>
      <c r="F3451" s="5">
        <v>10.43</v>
      </c>
      <c r="G3451" s="4" t="s">
        <v>54</v>
      </c>
      <c r="H3451" s="6">
        <f t="shared" si="53"/>
        <v>32698.05</v>
      </c>
    </row>
    <row r="3452" spans="1:8" x14ac:dyDescent="0.2">
      <c r="A3452" s="7" t="s">
        <v>3543</v>
      </c>
      <c r="B3452" s="8"/>
      <c r="C3452" s="8"/>
      <c r="D3452" s="8"/>
      <c r="E3452" s="8"/>
      <c r="F3452" s="8"/>
      <c r="G3452" s="8"/>
      <c r="H3452" s="9">
        <f>SUM(H2:H3451)</f>
        <v>4616187445.8800097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zoomScaleNormal="100" workbookViewId="0">
      <pane ySplit="1" topLeftCell="A2" activePane="bottomLeft" state="frozen"/>
      <selection pane="bottomLeft" activeCell="B2" sqref="B2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15" customWidth="1"/>
    <col min="4" max="4" width="12" customWidth="1"/>
    <col min="5" max="5" width="15" customWidth="1"/>
    <col min="6" max="6" width="17" customWidth="1"/>
    <col min="7" max="8" width="12" customWidth="1"/>
    <col min="9" max="9" width="16" customWidth="1"/>
  </cols>
  <sheetData>
    <row r="1" spans="1:9" x14ac:dyDescent="0.2">
      <c r="A1" s="1" t="s">
        <v>0</v>
      </c>
      <c r="B1" s="1"/>
      <c r="C1" s="1" t="s">
        <v>13</v>
      </c>
      <c r="D1" s="1" t="s">
        <v>3544</v>
      </c>
      <c r="E1" s="1" t="s">
        <v>3545</v>
      </c>
      <c r="F1" s="1" t="s">
        <v>3546</v>
      </c>
      <c r="G1" s="1" t="s">
        <v>3547</v>
      </c>
      <c r="H1" s="1" t="s">
        <v>3548</v>
      </c>
      <c r="I1" s="1" t="s">
        <v>3549</v>
      </c>
    </row>
    <row r="2" spans="1:9" x14ac:dyDescent="0.2">
      <c r="A2" s="2" t="s">
        <v>3</v>
      </c>
      <c r="B2" s="2" t="s">
        <v>3550</v>
      </c>
      <c r="C2" s="2" t="s">
        <v>18</v>
      </c>
      <c r="D2" s="10">
        <v>45686</v>
      </c>
      <c r="E2" s="2" t="s">
        <v>3551</v>
      </c>
      <c r="F2" s="2" t="s">
        <v>3552</v>
      </c>
      <c r="G2" s="11" t="s">
        <v>3553</v>
      </c>
      <c r="H2" s="12">
        <f>COUNTIF('Line Items'!$B$2:$B$3451,C2)</f>
        <v>51</v>
      </c>
      <c r="I2" s="13">
        <f>SUMIF('Line Items'!$B$2:$B$3451,C2,'Line Items'!$H$2:$H$3451)</f>
        <v>32883415.119999997</v>
      </c>
    </row>
    <row r="3" spans="1:9" x14ac:dyDescent="0.2">
      <c r="A3" s="2" t="s">
        <v>6</v>
      </c>
      <c r="B3" s="2" t="s">
        <v>3554</v>
      </c>
      <c r="C3" s="2" t="s">
        <v>102</v>
      </c>
      <c r="D3" s="10">
        <v>45693</v>
      </c>
      <c r="E3" s="2" t="s">
        <v>3551</v>
      </c>
      <c r="F3" s="2" t="s">
        <v>3555</v>
      </c>
      <c r="G3" s="11" t="s">
        <v>3556</v>
      </c>
      <c r="H3" s="12">
        <f>COUNTIF('Line Items'!$B$2:$B$3451,C3)</f>
        <v>31</v>
      </c>
      <c r="I3" s="13">
        <f>SUMIF('Line Items'!$B$2:$B$3451,C3,'Line Items'!$H$2:$H$3451)</f>
        <v>40944631.780000001</v>
      </c>
    </row>
    <row r="4" spans="1:9" x14ac:dyDescent="0.2">
      <c r="A4" s="2" t="s">
        <v>9</v>
      </c>
      <c r="B4" s="2" t="s">
        <v>3557</v>
      </c>
      <c r="C4" s="2" t="s">
        <v>135</v>
      </c>
      <c r="D4" s="10">
        <v>45766</v>
      </c>
      <c r="E4" s="2" t="s">
        <v>3551</v>
      </c>
      <c r="F4" s="2" t="s">
        <v>3558</v>
      </c>
      <c r="G4" s="11" t="s">
        <v>3559</v>
      </c>
      <c r="H4" s="12">
        <f>COUNTIF('Line Items'!$B$2:$B$3451,C4)</f>
        <v>31</v>
      </c>
      <c r="I4" s="13">
        <f>SUMIF('Line Items'!$B$2:$B$3451,C4,'Line Items'!$H$2:$H$3451)</f>
        <v>11703038.119999999</v>
      </c>
    </row>
    <row r="5" spans="1:9" x14ac:dyDescent="0.2">
      <c r="A5" s="2" t="s">
        <v>3</v>
      </c>
      <c r="B5" s="2" t="s">
        <v>3554</v>
      </c>
      <c r="C5" s="2" t="s">
        <v>168</v>
      </c>
      <c r="D5" s="10">
        <v>45717</v>
      </c>
      <c r="E5" s="2" t="s">
        <v>3551</v>
      </c>
      <c r="F5" s="2" t="s">
        <v>3555</v>
      </c>
      <c r="G5" s="11" t="s">
        <v>3553</v>
      </c>
      <c r="H5" s="12">
        <f>COUNTIF('Line Items'!$B$2:$B$3451,C5)</f>
        <v>45</v>
      </c>
      <c r="I5" s="13">
        <f>SUMIF('Line Items'!$B$2:$B$3451,C5,'Line Items'!$H$2:$H$3451)</f>
        <v>87072734.149999991</v>
      </c>
    </row>
    <row r="6" spans="1:9" x14ac:dyDescent="0.2">
      <c r="A6" s="2" t="s">
        <v>6</v>
      </c>
      <c r="B6" s="2" t="s">
        <v>3560</v>
      </c>
      <c r="C6" s="2" t="s">
        <v>214</v>
      </c>
      <c r="D6" s="10">
        <v>45824</v>
      </c>
      <c r="E6" s="2" t="s">
        <v>3561</v>
      </c>
      <c r="F6" s="2" t="s">
        <v>3562</v>
      </c>
      <c r="G6" s="11" t="s">
        <v>3556</v>
      </c>
      <c r="H6" s="12">
        <f>COUNTIF('Line Items'!$B$2:$B$3451,C6)</f>
        <v>77</v>
      </c>
      <c r="I6" s="13">
        <f>SUMIF('Line Items'!$B$2:$B$3451,C6,'Line Items'!$H$2:$H$3451)</f>
        <v>238105849.14000005</v>
      </c>
    </row>
    <row r="7" spans="1:9" x14ac:dyDescent="0.2">
      <c r="A7" s="2" t="s">
        <v>9</v>
      </c>
      <c r="B7" s="2" t="s">
        <v>3557</v>
      </c>
      <c r="C7" s="2" t="s">
        <v>292</v>
      </c>
      <c r="D7" s="10">
        <v>45729</v>
      </c>
      <c r="E7" s="2" t="s">
        <v>3551</v>
      </c>
      <c r="F7" s="2" t="s">
        <v>3562</v>
      </c>
      <c r="G7" s="11" t="s">
        <v>3559</v>
      </c>
      <c r="H7" s="12">
        <f>COUNTIF('Line Items'!$B$2:$B$3451,C7)</f>
        <v>109</v>
      </c>
      <c r="I7" s="13">
        <f>SUMIF('Line Items'!$B$2:$B$3451,C7,'Line Items'!$H$2:$H$3451)</f>
        <v>184050645.93999997</v>
      </c>
    </row>
    <row r="8" spans="1:9" x14ac:dyDescent="0.2">
      <c r="A8" s="2" t="s">
        <v>3</v>
      </c>
      <c r="B8" s="2" t="s">
        <v>3563</v>
      </c>
      <c r="C8" s="2" t="s">
        <v>402</v>
      </c>
      <c r="D8" s="10">
        <v>45745</v>
      </c>
      <c r="E8" s="2" t="s">
        <v>3564</v>
      </c>
      <c r="F8" s="2" t="s">
        <v>3562</v>
      </c>
      <c r="G8" s="11" t="s">
        <v>3553</v>
      </c>
      <c r="H8" s="12">
        <f>COUNTIF('Line Items'!$B$2:$B$3451,C8)</f>
        <v>47</v>
      </c>
      <c r="I8" s="13">
        <f>SUMIF('Line Items'!$B$2:$B$3451,C8,'Line Items'!$H$2:$H$3451)</f>
        <v>137613670.91999999</v>
      </c>
    </row>
    <row r="9" spans="1:9" x14ac:dyDescent="0.2">
      <c r="A9" s="2" t="s">
        <v>6</v>
      </c>
      <c r="B9" s="2" t="s">
        <v>3565</v>
      </c>
      <c r="C9" s="2" t="s">
        <v>450</v>
      </c>
      <c r="D9" s="10">
        <v>45744</v>
      </c>
      <c r="E9" s="2" t="s">
        <v>3551</v>
      </c>
      <c r="F9" s="2" t="s">
        <v>3558</v>
      </c>
      <c r="G9" s="11" t="s">
        <v>3556</v>
      </c>
      <c r="H9" s="12">
        <f>COUNTIF('Line Items'!$B$2:$B$3451,C9)</f>
        <v>68</v>
      </c>
      <c r="I9" s="13">
        <f>SUMIF('Line Items'!$B$2:$B$3451,C9,'Line Items'!$H$2:$H$3451)</f>
        <v>121610156.26000005</v>
      </c>
    </row>
    <row r="10" spans="1:9" x14ac:dyDescent="0.2">
      <c r="A10" s="2" t="s">
        <v>9</v>
      </c>
      <c r="B10" s="2" t="s">
        <v>3566</v>
      </c>
      <c r="C10" s="2" t="s">
        <v>519</v>
      </c>
      <c r="D10" s="10">
        <v>45749</v>
      </c>
      <c r="E10" s="2" t="s">
        <v>3564</v>
      </c>
      <c r="F10" s="2" t="s">
        <v>3555</v>
      </c>
      <c r="G10" s="11" t="s">
        <v>3559</v>
      </c>
      <c r="H10" s="12">
        <f>COUNTIF('Line Items'!$B$2:$B$3451,C10)</f>
        <v>53</v>
      </c>
      <c r="I10" s="13">
        <f>SUMIF('Line Items'!$B$2:$B$3451,C10,'Line Items'!$H$2:$H$3451)</f>
        <v>23138666.809999995</v>
      </c>
    </row>
    <row r="11" spans="1:9" x14ac:dyDescent="0.2">
      <c r="A11" s="2" t="s">
        <v>3</v>
      </c>
      <c r="B11" s="2" t="s">
        <v>3565</v>
      </c>
      <c r="C11" s="2" t="s">
        <v>573</v>
      </c>
      <c r="D11" s="10">
        <v>45669</v>
      </c>
      <c r="E11" s="2" t="s">
        <v>3561</v>
      </c>
      <c r="F11" s="2" t="s">
        <v>3555</v>
      </c>
      <c r="G11" s="11" t="s">
        <v>3553</v>
      </c>
      <c r="H11" s="12">
        <f>COUNTIF('Line Items'!$B$2:$B$3451,C11)</f>
        <v>35</v>
      </c>
      <c r="I11" s="13">
        <f>SUMIF('Line Items'!$B$2:$B$3451,C11,'Line Items'!$H$2:$H$3451)</f>
        <v>52411437.829999991</v>
      </c>
    </row>
    <row r="12" spans="1:9" x14ac:dyDescent="0.2">
      <c r="A12" s="2" t="s">
        <v>6</v>
      </c>
      <c r="B12" s="2" t="s">
        <v>3567</v>
      </c>
      <c r="C12" s="2" t="s">
        <v>609</v>
      </c>
      <c r="D12" s="10">
        <v>45754</v>
      </c>
      <c r="E12" s="2" t="s">
        <v>3551</v>
      </c>
      <c r="F12" s="2" t="s">
        <v>3555</v>
      </c>
      <c r="G12" s="11" t="s">
        <v>3556</v>
      </c>
      <c r="H12" s="12">
        <f>COUNTIF('Line Items'!$B$2:$B$3451,C12)</f>
        <v>57</v>
      </c>
      <c r="I12" s="13">
        <f>SUMIF('Line Items'!$B$2:$B$3451,C12,'Line Items'!$H$2:$H$3451)</f>
        <v>83105446.870000005</v>
      </c>
    </row>
    <row r="13" spans="1:9" x14ac:dyDescent="0.2">
      <c r="A13" s="2" t="s">
        <v>9</v>
      </c>
      <c r="B13" s="2" t="s">
        <v>3568</v>
      </c>
      <c r="C13" s="2" t="s">
        <v>667</v>
      </c>
      <c r="D13" s="10">
        <v>45818</v>
      </c>
      <c r="E13" s="2" t="s">
        <v>3564</v>
      </c>
      <c r="F13" s="2" t="s">
        <v>3555</v>
      </c>
      <c r="G13" s="11" t="s">
        <v>3559</v>
      </c>
      <c r="H13" s="12">
        <f>COUNTIF('Line Items'!$B$2:$B$3451,C13)</f>
        <v>44</v>
      </c>
      <c r="I13" s="13">
        <f>SUMIF('Line Items'!$B$2:$B$3451,C13,'Line Items'!$H$2:$H$3451)</f>
        <v>99632465.760000005</v>
      </c>
    </row>
    <row r="14" spans="1:9" x14ac:dyDescent="0.2">
      <c r="A14" s="2" t="s">
        <v>3</v>
      </c>
      <c r="B14" s="2" t="s">
        <v>3560</v>
      </c>
      <c r="C14" s="2" t="s">
        <v>712</v>
      </c>
      <c r="D14" s="10">
        <v>45675</v>
      </c>
      <c r="E14" s="2" t="s">
        <v>3551</v>
      </c>
      <c r="F14" s="2" t="s">
        <v>3562</v>
      </c>
      <c r="G14" s="11" t="s">
        <v>3553</v>
      </c>
      <c r="H14" s="12">
        <f>COUNTIF('Line Items'!$B$2:$B$3451,C14)</f>
        <v>118</v>
      </c>
      <c r="I14" s="13">
        <f>SUMIF('Line Items'!$B$2:$B$3451,C14,'Line Items'!$H$2:$H$3451)</f>
        <v>93610702.040000007</v>
      </c>
    </row>
    <row r="15" spans="1:9" x14ac:dyDescent="0.2">
      <c r="A15" s="2" t="s">
        <v>6</v>
      </c>
      <c r="B15" s="2" t="s">
        <v>3569</v>
      </c>
      <c r="C15" s="2" t="s">
        <v>831</v>
      </c>
      <c r="D15" s="10">
        <v>45678</v>
      </c>
      <c r="E15" s="2" t="s">
        <v>3570</v>
      </c>
      <c r="F15" s="2" t="s">
        <v>3558</v>
      </c>
      <c r="G15" s="11" t="s">
        <v>3556</v>
      </c>
      <c r="H15" s="12">
        <f>COUNTIF('Line Items'!$B$2:$B$3451,C15)</f>
        <v>68</v>
      </c>
      <c r="I15" s="13">
        <f>SUMIF('Line Items'!$B$2:$B$3451,C15,'Line Items'!$H$2:$H$3451)</f>
        <v>90501768.249999985</v>
      </c>
    </row>
    <row r="16" spans="1:9" x14ac:dyDescent="0.2">
      <c r="A16" s="2" t="s">
        <v>9</v>
      </c>
      <c r="B16" s="2" t="s">
        <v>3569</v>
      </c>
      <c r="C16" s="2" t="s">
        <v>900</v>
      </c>
      <c r="D16" s="10">
        <v>45774</v>
      </c>
      <c r="E16" s="2" t="s">
        <v>3564</v>
      </c>
      <c r="F16" s="2" t="s">
        <v>3562</v>
      </c>
      <c r="G16" s="11" t="s">
        <v>3559</v>
      </c>
      <c r="H16" s="12">
        <f>COUNTIF('Line Items'!$B$2:$B$3451,C16)</f>
        <v>67</v>
      </c>
      <c r="I16" s="13">
        <f>SUMIF('Line Items'!$B$2:$B$3451,C16,'Line Items'!$H$2:$H$3451)</f>
        <v>149523708.90999997</v>
      </c>
    </row>
    <row r="17" spans="1:9" x14ac:dyDescent="0.2">
      <c r="A17" s="2" t="s">
        <v>3</v>
      </c>
      <c r="B17" s="2" t="s">
        <v>3571</v>
      </c>
      <c r="C17" s="2" t="s">
        <v>968</v>
      </c>
      <c r="D17" s="10">
        <v>45711</v>
      </c>
      <c r="E17" s="2" t="s">
        <v>3564</v>
      </c>
      <c r="F17" s="2" t="s">
        <v>3558</v>
      </c>
      <c r="G17" s="11" t="s">
        <v>3553</v>
      </c>
      <c r="H17" s="12">
        <f>COUNTIF('Line Items'!$B$2:$B$3451,C17)</f>
        <v>97</v>
      </c>
      <c r="I17" s="13">
        <f>SUMIF('Line Items'!$B$2:$B$3451,C17,'Line Items'!$H$2:$H$3451)</f>
        <v>111409584.79999995</v>
      </c>
    </row>
    <row r="18" spans="1:9" x14ac:dyDescent="0.2">
      <c r="A18" s="2" t="s">
        <v>6</v>
      </c>
      <c r="B18" s="2" t="s">
        <v>3550</v>
      </c>
      <c r="C18" s="2" t="s">
        <v>1066</v>
      </c>
      <c r="D18" s="10">
        <v>45701</v>
      </c>
      <c r="E18" s="2" t="s">
        <v>3570</v>
      </c>
      <c r="F18" s="2" t="s">
        <v>3562</v>
      </c>
      <c r="G18" s="11" t="s">
        <v>3556</v>
      </c>
      <c r="H18" s="12">
        <f>COUNTIF('Line Items'!$B$2:$B$3451,C18)</f>
        <v>79</v>
      </c>
      <c r="I18" s="13">
        <f>SUMIF('Line Items'!$B$2:$B$3451,C18,'Line Items'!$H$2:$H$3451)</f>
        <v>72703396.00999999</v>
      </c>
    </row>
    <row r="19" spans="1:9" x14ac:dyDescent="0.2">
      <c r="A19" s="2" t="s">
        <v>9</v>
      </c>
      <c r="B19" s="2" t="s">
        <v>3563</v>
      </c>
      <c r="C19" s="2" t="s">
        <v>1146</v>
      </c>
      <c r="D19" s="10">
        <v>45727</v>
      </c>
      <c r="E19" s="2" t="s">
        <v>3570</v>
      </c>
      <c r="F19" s="2" t="s">
        <v>3552</v>
      </c>
      <c r="G19" s="11" t="s">
        <v>3559</v>
      </c>
      <c r="H19" s="12">
        <f>COUNTIF('Line Items'!$B$2:$B$3451,C19)</f>
        <v>127</v>
      </c>
      <c r="I19" s="13">
        <f>SUMIF('Line Items'!$B$2:$B$3451,C19,'Line Items'!$H$2:$H$3451)</f>
        <v>204552529.96000001</v>
      </c>
    </row>
    <row r="20" spans="1:9" x14ac:dyDescent="0.2">
      <c r="A20" s="2" t="s">
        <v>3</v>
      </c>
      <c r="B20" s="2" t="s">
        <v>3565</v>
      </c>
      <c r="C20" s="2" t="s">
        <v>1274</v>
      </c>
      <c r="D20" s="10">
        <v>45672</v>
      </c>
      <c r="E20" s="2" t="s">
        <v>3570</v>
      </c>
      <c r="F20" s="2" t="s">
        <v>3558</v>
      </c>
      <c r="G20" s="11" t="s">
        <v>3553</v>
      </c>
      <c r="H20" s="12">
        <f>COUNTIF('Line Items'!$B$2:$B$3451,C20)</f>
        <v>123</v>
      </c>
      <c r="I20" s="13">
        <f>SUMIF('Line Items'!$B$2:$B$3451,C20,'Line Items'!$H$2:$H$3451)</f>
        <v>69340760.769999996</v>
      </c>
    </row>
    <row r="21" spans="1:9" x14ac:dyDescent="0.2">
      <c r="A21" s="2" t="s">
        <v>6</v>
      </c>
      <c r="B21" s="2" t="s">
        <v>3571</v>
      </c>
      <c r="C21" s="2" t="s">
        <v>1398</v>
      </c>
      <c r="D21" s="10">
        <v>45760</v>
      </c>
      <c r="E21" s="2" t="s">
        <v>3564</v>
      </c>
      <c r="F21" s="2" t="s">
        <v>3558</v>
      </c>
      <c r="G21" s="11" t="s">
        <v>3556</v>
      </c>
      <c r="H21" s="12">
        <f>COUNTIF('Line Items'!$B$2:$B$3451,C21)</f>
        <v>47</v>
      </c>
      <c r="I21" s="13">
        <f>SUMIF('Line Items'!$B$2:$B$3451,C21,'Line Items'!$H$2:$H$3451)</f>
        <v>17194471.520000003</v>
      </c>
    </row>
    <row r="22" spans="1:9" x14ac:dyDescent="0.2">
      <c r="A22" s="2" t="s">
        <v>9</v>
      </c>
      <c r="B22" s="2" t="s">
        <v>3567</v>
      </c>
      <c r="C22" s="2" t="s">
        <v>1446</v>
      </c>
      <c r="D22" s="10">
        <v>45803</v>
      </c>
      <c r="E22" s="2" t="s">
        <v>3564</v>
      </c>
      <c r="F22" s="2" t="s">
        <v>3562</v>
      </c>
      <c r="G22" s="11" t="s">
        <v>3559</v>
      </c>
      <c r="H22" s="12">
        <f>COUNTIF('Line Items'!$B$2:$B$3451,C22)</f>
        <v>103</v>
      </c>
      <c r="I22" s="13">
        <f>SUMIF('Line Items'!$B$2:$B$3451,C22,'Line Items'!$H$2:$H$3451)</f>
        <v>135107812.77000001</v>
      </c>
    </row>
    <row r="23" spans="1:9" x14ac:dyDescent="0.2">
      <c r="A23" s="2" t="s">
        <v>3</v>
      </c>
      <c r="B23" s="2" t="s">
        <v>3572</v>
      </c>
      <c r="C23" s="2" t="s">
        <v>1550</v>
      </c>
      <c r="D23" s="10">
        <v>45759</v>
      </c>
      <c r="E23" s="2" t="s">
        <v>3561</v>
      </c>
      <c r="F23" s="2" t="s">
        <v>3562</v>
      </c>
      <c r="G23" s="11" t="s">
        <v>3553</v>
      </c>
      <c r="H23" s="12">
        <f>COUNTIF('Line Items'!$B$2:$B$3451,C23)</f>
        <v>53</v>
      </c>
      <c r="I23" s="13">
        <f>SUMIF('Line Items'!$B$2:$B$3451,C23,'Line Items'!$H$2:$H$3451)</f>
        <v>28930958.120000001</v>
      </c>
    </row>
    <row r="24" spans="1:9" x14ac:dyDescent="0.2">
      <c r="A24" s="2" t="s">
        <v>6</v>
      </c>
      <c r="B24" s="2" t="s">
        <v>3573</v>
      </c>
      <c r="C24" s="2" t="s">
        <v>1604</v>
      </c>
      <c r="D24" s="10">
        <v>45721</v>
      </c>
      <c r="E24" s="2" t="s">
        <v>3564</v>
      </c>
      <c r="F24" s="2" t="s">
        <v>3555</v>
      </c>
      <c r="G24" s="11" t="s">
        <v>3556</v>
      </c>
      <c r="H24" s="12">
        <f>COUNTIF('Line Items'!$B$2:$B$3451,C24)</f>
        <v>74</v>
      </c>
      <c r="I24" s="13">
        <f>SUMIF('Line Items'!$B$2:$B$3451,C24,'Line Items'!$H$2:$H$3451)</f>
        <v>145743109.95000005</v>
      </c>
    </row>
    <row r="25" spans="1:9" x14ac:dyDescent="0.2">
      <c r="A25" s="2" t="s">
        <v>9</v>
      </c>
      <c r="B25" s="2" t="s">
        <v>3567</v>
      </c>
      <c r="C25" s="2" t="s">
        <v>1679</v>
      </c>
      <c r="D25" s="10">
        <v>45807</v>
      </c>
      <c r="E25" s="2" t="s">
        <v>3561</v>
      </c>
      <c r="F25" s="2" t="s">
        <v>3552</v>
      </c>
      <c r="G25" s="11" t="s">
        <v>3559</v>
      </c>
      <c r="H25" s="12">
        <f>COUNTIF('Line Items'!$B$2:$B$3451,C25)</f>
        <v>48</v>
      </c>
      <c r="I25" s="13">
        <f>SUMIF('Line Items'!$B$2:$B$3451,C25,'Line Items'!$H$2:$H$3451)</f>
        <v>143136255.55999997</v>
      </c>
    </row>
    <row r="26" spans="1:9" x14ac:dyDescent="0.2">
      <c r="A26" s="2" t="s">
        <v>3</v>
      </c>
      <c r="B26" s="2" t="s">
        <v>3573</v>
      </c>
      <c r="C26" s="2" t="s">
        <v>1728</v>
      </c>
      <c r="D26" s="10">
        <v>45788</v>
      </c>
      <c r="E26" s="2" t="s">
        <v>3561</v>
      </c>
      <c r="F26" s="2" t="s">
        <v>3558</v>
      </c>
      <c r="G26" s="11" t="s">
        <v>3553</v>
      </c>
      <c r="H26" s="12">
        <f>COUNTIF('Line Items'!$B$2:$B$3451,C26)</f>
        <v>116</v>
      </c>
      <c r="I26" s="13">
        <f>SUMIF('Line Items'!$B$2:$B$3451,C26,'Line Items'!$H$2:$H$3451)</f>
        <v>124313351.5899999</v>
      </c>
    </row>
    <row r="27" spans="1:9" x14ac:dyDescent="0.2">
      <c r="A27" s="2" t="s">
        <v>6</v>
      </c>
      <c r="B27" s="2" t="s">
        <v>3574</v>
      </c>
      <c r="C27" s="2" t="s">
        <v>1845</v>
      </c>
      <c r="D27" s="10">
        <v>45686</v>
      </c>
      <c r="E27" s="2" t="s">
        <v>3570</v>
      </c>
      <c r="F27" s="2" t="s">
        <v>3562</v>
      </c>
      <c r="G27" s="11" t="s">
        <v>3556</v>
      </c>
      <c r="H27" s="12">
        <f>COUNTIF('Line Items'!$B$2:$B$3451,C27)</f>
        <v>121</v>
      </c>
      <c r="I27" s="13">
        <f>SUMIF('Line Items'!$B$2:$B$3451,C27,'Line Items'!$H$2:$H$3451)</f>
        <v>113185320.81000002</v>
      </c>
    </row>
    <row r="28" spans="1:9" x14ac:dyDescent="0.2">
      <c r="A28" s="2" t="s">
        <v>9</v>
      </c>
      <c r="B28" s="2" t="s">
        <v>3550</v>
      </c>
      <c r="C28" s="2" t="s">
        <v>1967</v>
      </c>
      <c r="D28" s="10">
        <v>45766</v>
      </c>
      <c r="E28" s="2" t="s">
        <v>3551</v>
      </c>
      <c r="F28" s="2" t="s">
        <v>3575</v>
      </c>
      <c r="G28" s="11" t="s">
        <v>3559</v>
      </c>
      <c r="H28" s="12">
        <f>COUNTIF('Line Items'!$B$2:$B$3451,C28)</f>
        <v>68</v>
      </c>
      <c r="I28" s="13">
        <f>SUMIF('Line Items'!$B$2:$B$3451,C28,'Line Items'!$H$2:$H$3451)</f>
        <v>49152200.420000002</v>
      </c>
    </row>
    <row r="29" spans="1:9" x14ac:dyDescent="0.2">
      <c r="A29" s="2" t="s">
        <v>3</v>
      </c>
      <c r="B29" s="2" t="s">
        <v>3557</v>
      </c>
      <c r="C29" s="2" t="s">
        <v>2036</v>
      </c>
      <c r="D29" s="10">
        <v>45777</v>
      </c>
      <c r="E29" s="2" t="s">
        <v>3564</v>
      </c>
      <c r="F29" s="2" t="s">
        <v>3555</v>
      </c>
      <c r="G29" s="11" t="s">
        <v>3553</v>
      </c>
      <c r="H29" s="12">
        <f>COUNTIF('Line Items'!$B$2:$B$3451,C29)</f>
        <v>130</v>
      </c>
      <c r="I29" s="13">
        <f>SUMIF('Line Items'!$B$2:$B$3451,C29,'Line Items'!$H$2:$H$3451)</f>
        <v>168973813.21000001</v>
      </c>
    </row>
    <row r="30" spans="1:9" x14ac:dyDescent="0.2">
      <c r="A30" s="2" t="s">
        <v>6</v>
      </c>
      <c r="B30" s="2" t="s">
        <v>3574</v>
      </c>
      <c r="C30" s="2" t="s">
        <v>2167</v>
      </c>
      <c r="D30" s="10">
        <v>45832</v>
      </c>
      <c r="E30" s="2" t="s">
        <v>3551</v>
      </c>
      <c r="F30" s="2" t="s">
        <v>3555</v>
      </c>
      <c r="G30" s="11" t="s">
        <v>3556</v>
      </c>
      <c r="H30" s="12">
        <f>COUNTIF('Line Items'!$B$2:$B$3451,C30)</f>
        <v>116</v>
      </c>
      <c r="I30" s="13">
        <f>SUMIF('Line Items'!$B$2:$B$3451,C30,'Line Items'!$H$2:$H$3451)</f>
        <v>130904968.58</v>
      </c>
    </row>
    <row r="31" spans="1:9" x14ac:dyDescent="0.2">
      <c r="A31" s="2" t="s">
        <v>9</v>
      </c>
      <c r="B31" s="2" t="s">
        <v>3569</v>
      </c>
      <c r="C31" s="2" t="s">
        <v>2284</v>
      </c>
      <c r="D31" s="10">
        <v>45822</v>
      </c>
      <c r="E31" s="2" t="s">
        <v>3564</v>
      </c>
      <c r="F31" s="2" t="s">
        <v>3558</v>
      </c>
      <c r="G31" s="11" t="s">
        <v>3559</v>
      </c>
      <c r="H31" s="12">
        <f>COUNTIF('Line Items'!$B$2:$B$3451,C31)</f>
        <v>57</v>
      </c>
      <c r="I31" s="13">
        <f>SUMIF('Line Items'!$B$2:$B$3451,C31,'Line Items'!$H$2:$H$3451)</f>
        <v>132642701.98999996</v>
      </c>
    </row>
    <row r="32" spans="1:9" x14ac:dyDescent="0.2">
      <c r="A32" s="2" t="s">
        <v>3</v>
      </c>
      <c r="B32" s="2" t="s">
        <v>3563</v>
      </c>
      <c r="C32" s="2" t="s">
        <v>2342</v>
      </c>
      <c r="D32" s="10">
        <v>45698</v>
      </c>
      <c r="E32" s="2" t="s">
        <v>3561</v>
      </c>
      <c r="F32" s="2" t="s">
        <v>3558</v>
      </c>
      <c r="G32" s="11" t="s">
        <v>3553</v>
      </c>
      <c r="H32" s="12">
        <f>COUNTIF('Line Items'!$B$2:$B$3451,C32)</f>
        <v>112</v>
      </c>
      <c r="I32" s="13">
        <f>SUMIF('Line Items'!$B$2:$B$3451,C32,'Line Items'!$H$2:$H$3451)</f>
        <v>243169278</v>
      </c>
    </row>
    <row r="33" spans="1:9" x14ac:dyDescent="0.2">
      <c r="A33" s="2" t="s">
        <v>6</v>
      </c>
      <c r="B33" s="2" t="s">
        <v>3567</v>
      </c>
      <c r="C33" s="2" t="s">
        <v>2455</v>
      </c>
      <c r="D33" s="10">
        <v>45725</v>
      </c>
      <c r="E33" s="2" t="s">
        <v>3570</v>
      </c>
      <c r="F33" s="2" t="s">
        <v>3555</v>
      </c>
      <c r="G33" s="11" t="s">
        <v>3556</v>
      </c>
      <c r="H33" s="12">
        <f>COUNTIF('Line Items'!$B$2:$B$3451,C33)</f>
        <v>136</v>
      </c>
      <c r="I33" s="13">
        <f>SUMIF('Line Items'!$B$2:$B$3451,C33,'Line Items'!$H$2:$H$3451)</f>
        <v>273778730.31999999</v>
      </c>
    </row>
    <row r="34" spans="1:9" x14ac:dyDescent="0.2">
      <c r="A34" s="2" t="s">
        <v>9</v>
      </c>
      <c r="B34" s="2" t="s">
        <v>3566</v>
      </c>
      <c r="C34" s="2" t="s">
        <v>2592</v>
      </c>
      <c r="D34" s="10">
        <v>45818</v>
      </c>
      <c r="E34" s="2" t="s">
        <v>3564</v>
      </c>
      <c r="F34" s="2" t="s">
        <v>3555</v>
      </c>
      <c r="G34" s="11" t="s">
        <v>3559</v>
      </c>
      <c r="H34" s="12">
        <f>COUNTIF('Line Items'!$B$2:$B$3451,C34)</f>
        <v>97</v>
      </c>
      <c r="I34" s="13">
        <f>SUMIF('Line Items'!$B$2:$B$3451,C34,'Line Items'!$H$2:$H$3451)</f>
        <v>156251556.5</v>
      </c>
    </row>
    <row r="35" spans="1:9" x14ac:dyDescent="0.2">
      <c r="A35" s="2" t="s">
        <v>3</v>
      </c>
      <c r="B35" s="2" t="s">
        <v>3554</v>
      </c>
      <c r="C35" s="2" t="s">
        <v>2690</v>
      </c>
      <c r="D35" s="10">
        <v>45697</v>
      </c>
      <c r="E35" s="2" t="s">
        <v>3564</v>
      </c>
      <c r="F35" s="2" t="s">
        <v>3562</v>
      </c>
      <c r="G35" s="11" t="s">
        <v>3553</v>
      </c>
      <c r="H35" s="12">
        <f>COUNTIF('Line Items'!$B$2:$B$3451,C35)</f>
        <v>89</v>
      </c>
      <c r="I35" s="13">
        <f>SUMIF('Line Items'!$B$2:$B$3451,C35,'Line Items'!$H$2:$H$3451)</f>
        <v>71824103.140000001</v>
      </c>
    </row>
    <row r="36" spans="1:9" x14ac:dyDescent="0.2">
      <c r="A36" s="2" t="s">
        <v>6</v>
      </c>
      <c r="B36" s="2" t="s">
        <v>3565</v>
      </c>
      <c r="C36" s="2" t="s">
        <v>2780</v>
      </c>
      <c r="D36" s="10">
        <v>45793</v>
      </c>
      <c r="E36" s="2" t="s">
        <v>3551</v>
      </c>
      <c r="F36" s="2" t="s">
        <v>3555</v>
      </c>
      <c r="G36" s="11" t="s">
        <v>3556</v>
      </c>
      <c r="H36" s="12">
        <f>COUNTIF('Line Items'!$B$2:$B$3451,C36)</f>
        <v>61</v>
      </c>
      <c r="I36" s="13">
        <f>SUMIF('Line Items'!$B$2:$B$3451,C36,'Line Items'!$H$2:$H$3451)</f>
        <v>16382626.189999998</v>
      </c>
    </row>
    <row r="37" spans="1:9" x14ac:dyDescent="0.2">
      <c r="A37" s="2" t="s">
        <v>9</v>
      </c>
      <c r="B37" s="2" t="s">
        <v>3572</v>
      </c>
      <c r="C37" s="2" t="s">
        <v>2842</v>
      </c>
      <c r="D37" s="10">
        <v>45662</v>
      </c>
      <c r="E37" s="2" t="s">
        <v>3551</v>
      </c>
      <c r="F37" s="2" t="s">
        <v>3552</v>
      </c>
      <c r="G37" s="11" t="s">
        <v>3559</v>
      </c>
      <c r="H37" s="12">
        <f>COUNTIF('Line Items'!$B$2:$B$3451,C37)</f>
        <v>132</v>
      </c>
      <c r="I37" s="13">
        <f>SUMIF('Line Items'!$B$2:$B$3451,C37,'Line Items'!$H$2:$H$3451)</f>
        <v>127480531.20000002</v>
      </c>
    </row>
    <row r="38" spans="1:9" x14ac:dyDescent="0.2">
      <c r="A38" s="2" t="s">
        <v>3</v>
      </c>
      <c r="B38" s="2" t="s">
        <v>3568</v>
      </c>
      <c r="C38" s="2" t="s">
        <v>2975</v>
      </c>
      <c r="D38" s="10">
        <v>45736</v>
      </c>
      <c r="E38" s="2" t="s">
        <v>3570</v>
      </c>
      <c r="F38" s="2" t="s">
        <v>3558</v>
      </c>
      <c r="G38" s="11" t="s">
        <v>3553</v>
      </c>
      <c r="H38" s="12">
        <f>COUNTIF('Line Items'!$B$2:$B$3451,C38)</f>
        <v>50</v>
      </c>
      <c r="I38" s="13">
        <f>SUMIF('Line Items'!$B$2:$B$3451,C38,'Line Items'!$H$2:$H$3451)</f>
        <v>41994488.760000013</v>
      </c>
    </row>
    <row r="39" spans="1:9" x14ac:dyDescent="0.2">
      <c r="A39" s="2" t="s">
        <v>6</v>
      </c>
      <c r="B39" s="2" t="s">
        <v>3567</v>
      </c>
      <c r="C39" s="2" t="s">
        <v>3026</v>
      </c>
      <c r="D39" s="10">
        <v>45803</v>
      </c>
      <c r="E39" s="2" t="s">
        <v>3551</v>
      </c>
      <c r="F39" s="2" t="s">
        <v>3558</v>
      </c>
      <c r="G39" s="11" t="s">
        <v>3556</v>
      </c>
      <c r="H39" s="12">
        <f>COUNTIF('Line Items'!$B$2:$B$3451,C39)</f>
        <v>113</v>
      </c>
      <c r="I39" s="13">
        <f>SUMIF('Line Items'!$B$2:$B$3451,C39,'Line Items'!$H$2:$H$3451)</f>
        <v>88931822.679999992</v>
      </c>
    </row>
    <row r="40" spans="1:9" x14ac:dyDescent="0.2">
      <c r="A40" s="2" t="s">
        <v>9</v>
      </c>
      <c r="B40" s="2" t="s">
        <v>3572</v>
      </c>
      <c r="C40" s="2" t="s">
        <v>3140</v>
      </c>
      <c r="D40" s="10">
        <v>45675</v>
      </c>
      <c r="E40" s="2" t="s">
        <v>3570</v>
      </c>
      <c r="F40" s="2" t="s">
        <v>3562</v>
      </c>
      <c r="G40" s="11" t="s">
        <v>3559</v>
      </c>
      <c r="H40" s="12">
        <f>COUNTIF('Line Items'!$B$2:$B$3451,C40)</f>
        <v>104</v>
      </c>
      <c r="I40" s="13">
        <f>SUMIF('Line Items'!$B$2:$B$3451,C40,'Line Items'!$H$2:$H$3451)</f>
        <v>162185388.01000002</v>
      </c>
    </row>
    <row r="41" spans="1:9" x14ac:dyDescent="0.2">
      <c r="A41" s="2" t="s">
        <v>3</v>
      </c>
      <c r="B41" s="2" t="s">
        <v>3572</v>
      </c>
      <c r="C41" s="2" t="s">
        <v>3245</v>
      </c>
      <c r="D41" s="10">
        <v>45798</v>
      </c>
      <c r="E41" s="2" t="s">
        <v>3570</v>
      </c>
      <c r="F41" s="2" t="s">
        <v>3552</v>
      </c>
      <c r="G41" s="11" t="s">
        <v>3553</v>
      </c>
      <c r="H41" s="12">
        <f>COUNTIF('Line Items'!$B$2:$B$3451,C41)</f>
        <v>87</v>
      </c>
      <c r="I41" s="13">
        <f>SUMIF('Line Items'!$B$2:$B$3451,C41,'Line Items'!$H$2:$H$3451)</f>
        <v>94874552.929999948</v>
      </c>
    </row>
    <row r="42" spans="1:9" x14ac:dyDescent="0.2">
      <c r="A42" s="2" t="s">
        <v>6</v>
      </c>
      <c r="B42" s="2" t="s">
        <v>3568</v>
      </c>
      <c r="C42" s="2" t="s">
        <v>3333</v>
      </c>
      <c r="D42" s="10">
        <v>45813</v>
      </c>
      <c r="E42" s="2" t="s">
        <v>3561</v>
      </c>
      <c r="F42" s="2" t="s">
        <v>3562</v>
      </c>
      <c r="G42" s="11" t="s">
        <v>3556</v>
      </c>
      <c r="H42" s="12">
        <f>COUNTIF('Line Items'!$B$2:$B$3451,C42)</f>
        <v>138</v>
      </c>
      <c r="I42" s="13">
        <f>SUMIF('Line Items'!$B$2:$B$3451,C42,'Line Items'!$H$2:$H$3451)</f>
        <v>181352354.48999995</v>
      </c>
    </row>
    <row r="43" spans="1:9" x14ac:dyDescent="0.2">
      <c r="A43" s="2" t="s">
        <v>9</v>
      </c>
      <c r="B43" s="2" t="s">
        <v>3576</v>
      </c>
      <c r="C43" s="2" t="s">
        <v>3472</v>
      </c>
      <c r="D43" s="10">
        <v>45834</v>
      </c>
      <c r="E43" s="2" t="s">
        <v>3570</v>
      </c>
      <c r="F43" s="2" t="s">
        <v>3552</v>
      </c>
      <c r="G43" s="11" t="s">
        <v>3559</v>
      </c>
      <c r="H43" s="12">
        <f>COUNTIF('Line Items'!$B$2:$B$3451,C43)</f>
        <v>71</v>
      </c>
      <c r="I43" s="13">
        <f>SUMIF('Line Items'!$B$2:$B$3451,C43,'Line Items'!$H$2:$H$3451)</f>
        <v>64762439.699999996</v>
      </c>
    </row>
    <row r="44" spans="1:9" x14ac:dyDescent="0.2">
      <c r="A44" s="7" t="s">
        <v>3577</v>
      </c>
      <c r="B44" s="8"/>
      <c r="C44" s="8"/>
      <c r="D44" s="8"/>
      <c r="E44" s="8"/>
      <c r="F44" s="8"/>
      <c r="G44" s="8"/>
      <c r="H44" s="14">
        <f>SUM(H2:H43)</f>
        <v>3450</v>
      </c>
      <c r="I44" s="9">
        <f>SUM(I2:I43)</f>
        <v>4616187445.8799992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3" width="18" customWidth="1"/>
  </cols>
  <sheetData>
    <row r="1" spans="1:3" ht="18" x14ac:dyDescent="0.2">
      <c r="A1" s="15" t="s">
        <v>3578</v>
      </c>
    </row>
    <row r="3" spans="1:3" x14ac:dyDescent="0.2">
      <c r="A3" s="7" t="s">
        <v>3579</v>
      </c>
      <c r="B3" s="16" t="s">
        <v>3580</v>
      </c>
    </row>
    <row r="4" spans="1:3" x14ac:dyDescent="0.2">
      <c r="A4" s="2" t="s">
        <v>3581</v>
      </c>
      <c r="B4" s="12">
        <f>COUNTA(Summary!C2:C43)</f>
        <v>42</v>
      </c>
    </row>
    <row r="5" spans="1:3" x14ac:dyDescent="0.2">
      <c r="A5" s="2" t="s">
        <v>3582</v>
      </c>
      <c r="B5" s="12">
        <f>COUNTA('Line Items'!A2:A3451)</f>
        <v>3450</v>
      </c>
    </row>
    <row r="6" spans="1:3" x14ac:dyDescent="0.2">
      <c r="A6" s="2" t="s">
        <v>3583</v>
      </c>
      <c r="B6" s="13">
        <f>SUM('Line Items'!H2:H3451)</f>
        <v>4616187445.8800097</v>
      </c>
    </row>
    <row r="7" spans="1:3" x14ac:dyDescent="0.2">
      <c r="A7" s="2" t="s">
        <v>3584</v>
      </c>
      <c r="B7" s="13">
        <f>AVERAGE('Line Items'!H2:H3451)</f>
        <v>1338025.3466318869</v>
      </c>
    </row>
    <row r="8" spans="1:3" x14ac:dyDescent="0.2">
      <c r="A8" s="2" t="s">
        <v>3585</v>
      </c>
      <c r="B8" s="13">
        <f>MAX('Line Items'!H2:H3451)</f>
        <v>42533341.169999994</v>
      </c>
    </row>
    <row r="9" spans="1:3" x14ac:dyDescent="0.2">
      <c r="A9" s="2" t="s">
        <v>3586</v>
      </c>
      <c r="B9" s="12">
        <f>COUNTIF(Summary!G2:G43,"DRAFT")</f>
        <v>14</v>
      </c>
    </row>
    <row r="10" spans="1:3" x14ac:dyDescent="0.2">
      <c r="A10" s="2" t="s">
        <v>3587</v>
      </c>
      <c r="B10" s="12">
        <f>COUNTIF(Summary!G2:G43,"FINALIZED")</f>
        <v>14</v>
      </c>
    </row>
    <row r="11" spans="1:3" x14ac:dyDescent="0.2">
      <c r="A11" s="2" t="s">
        <v>3588</v>
      </c>
      <c r="B11" s="12">
        <f>COUNTIF(Summary!G2:G43,"ARCHIVED")</f>
        <v>14</v>
      </c>
    </row>
    <row r="13" spans="1:3" ht="16" x14ac:dyDescent="0.2">
      <c r="A13" s="17" t="s">
        <v>3589</v>
      </c>
    </row>
    <row r="14" spans="1:3" x14ac:dyDescent="0.2">
      <c r="A14" s="7" t="s">
        <v>0</v>
      </c>
      <c r="B14" s="16" t="s">
        <v>3590</v>
      </c>
      <c r="C14" s="16" t="s">
        <v>3591</v>
      </c>
    </row>
    <row r="15" spans="1:3" x14ac:dyDescent="0.2">
      <c r="A15" s="2" t="s">
        <v>3</v>
      </c>
      <c r="B15" s="12">
        <f>COUNTIF(Summary!$A$2:$A$43,A15)</f>
        <v>14</v>
      </c>
      <c r="C15" s="13">
        <f>SUMIF(Summary!$A$2:$A$43,A15,Summary!$I$2:$I$43)</f>
        <v>1358422851.3800001</v>
      </c>
    </row>
    <row r="16" spans="1:3" x14ac:dyDescent="0.2">
      <c r="A16" s="2" t="s">
        <v>6</v>
      </c>
      <c r="B16" s="12">
        <f>COUNTIF(Summary!$A$2:$A$43,A16)</f>
        <v>14</v>
      </c>
      <c r="C16" s="13">
        <f>SUMIF(Summary!$A$2:$A$43,A16,Summary!$I$2:$I$43)</f>
        <v>1614444652.8500004</v>
      </c>
    </row>
    <row r="17" spans="1:3" x14ac:dyDescent="0.2">
      <c r="A17" s="2" t="s">
        <v>9</v>
      </c>
      <c r="B17" s="12">
        <f>COUNTIF(Summary!$A$2:$A$43,A17)</f>
        <v>14</v>
      </c>
      <c r="C17" s="13">
        <f>SUMIF(Summary!$A$2:$A$43,A17,Summary!$I$2:$I$43)</f>
        <v>1643319941.6499999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Organizations</vt:lpstr>
      <vt:lpstr>Line Items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Simplify SLR</cp:lastModifiedBy>
  <cp:revision>0</cp:revision>
  <dcterms:created xsi:type="dcterms:W3CDTF">2026-07-01T11:55:52Z</dcterms:created>
  <dcterms:modified xsi:type="dcterms:W3CDTF">2026-07-15T11:53:38Z</dcterms:modified>
  <dc:language>en-US</dc:language>
</cp:coreProperties>
</file>